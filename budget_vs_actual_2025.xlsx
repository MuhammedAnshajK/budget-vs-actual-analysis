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ommentary" sheetId="3" state="visible" r:id="rId5"/>
    <sheet name="Revenue Analysis" sheetId="4" state="visible" r:id="rId6"/>
    <sheet name="Cost Analysis" sheetId="5" state="visible" r:id="rId7"/>
    <sheet name="Monthly" sheetId="6" state="visible" r:id="rId8"/>
    <sheet name="Budget" sheetId="7" state="visible" r:id="rId9"/>
    <sheet name="Actual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<sst xmlns="http://schemas.openxmlformats.org/spreadsheetml/2006/main" count="304" uniqueCount="180">
  <si>
    <t xml:space="preserve">Budget vs Actual Analysis, Financial Year 2025</t>
  </si>
  <si>
    <t xml:space="preserve">Illustrative sportswear company with three product lines. $ thousands unless stated.</t>
  </si>
  <si>
    <t xml:space="preserve">Purpose</t>
  </si>
  <si>
    <t xml:space="preserve">Compare actual 2025 results with the budget, measure revenue, expense, profit and percentage variances, and explain the major deviations.</t>
  </si>
  <si>
    <t xml:space="preserve">Headline</t>
  </si>
  <si>
    <t xml:space="preserve">Sheets</t>
  </si>
  <si>
    <t xml:space="preserve">Summary</t>
  </si>
  <si>
    <t xml:space="preserve">Full-year variance table with materiality flags, and the operating profit bridge with waterfall chart</t>
  </si>
  <si>
    <t xml:space="preserve">Commentary</t>
  </si>
  <si>
    <t xml:space="preserve">The major deviations, why they happened and what to do</t>
  </si>
  <si>
    <t xml:space="preserve">Revenue Analysis</t>
  </si>
  <si>
    <t xml:space="preserve">Revenue variance split into price and volume, and revenue mix</t>
  </si>
  <si>
    <t xml:space="preserve">Cost Analysis</t>
  </si>
  <si>
    <t xml:space="preserve">Cost of sales split into volume and unit-cost effects (flexible budget), and operating expenses</t>
  </si>
  <si>
    <t xml:space="preserve">Monthly</t>
  </si>
  <si>
    <t xml:space="preserve">Month-by-month variances, year-to-date profit variance and charts</t>
  </si>
  <si>
    <t xml:space="preserve">Budget / Actual</t>
  </si>
  <si>
    <t xml:space="preserve">Monthly P&amp;L inputs (units, prices, unit costs, expenses)</t>
  </si>
  <si>
    <t xml:space="preserve">Checks</t>
  </si>
  <si>
    <t xml:space="preserve">Reconciliations; should say OK</t>
  </si>
  <si>
    <t xml:space="preserve">Sign convention</t>
  </si>
  <si>
    <t xml:space="preserve">Positive variance = favourable (more revenue or less cost than budget). Negative = unfavourable.</t>
  </si>
  <si>
    <t xml:space="preserve">Materiality</t>
  </si>
  <si>
    <t xml:space="preserve">A line is flagged when its variance is at least 5% and at least $100k (both editable on the Summary sheet, yellow cells).</t>
  </si>
  <si>
    <t xml:space="preserve">Colour key</t>
  </si>
  <si>
    <t xml:space="preserve">Blue = input, black = formula, green = link to another sheet, yellow = key assumption</t>
  </si>
  <si>
    <t xml:space="preserve">Checks status</t>
  </si>
  <si>
    <t xml:space="preserve">Budget vs Actual: Full Year 2025</t>
  </si>
  <si>
    <t xml:space="preserve">Illustrative sportswear company, $ thousands. Variance is shown so that positive = favourable (better than budget) and negative = unfavourable.</t>
  </si>
  <si>
    <t xml:space="preserve">Materiality: flag if |variance %| is at least</t>
  </si>
  <si>
    <t xml:space="preserve">and |variance| is at least ($k)</t>
  </si>
  <si>
    <t xml:space="preserve">$ thousands</t>
  </si>
  <si>
    <t xml:space="preserve">Budget</t>
  </si>
  <si>
    <t xml:space="preserve">Actual</t>
  </si>
  <si>
    <t xml:space="preserve">Variance F/(U)</t>
  </si>
  <si>
    <t xml:space="preserve">Variance %</t>
  </si>
  <si>
    <t xml:space="preserve">Status</t>
  </si>
  <si>
    <t xml:space="preserve">Revenue: Running Shoes</t>
  </si>
  <si>
    <t xml:space="preserve">Revenue: Apparel</t>
  </si>
  <si>
    <t xml:space="preserve">Revenue: Accessories</t>
  </si>
  <si>
    <t xml:space="preserve">Total revenue</t>
  </si>
  <si>
    <t xml:space="preserve">Cost of sales: Running Shoes</t>
  </si>
  <si>
    <t xml:space="preserve">Cost of sales: Apparel</t>
  </si>
  <si>
    <t xml:space="preserve">Cost of sales: Accessories</t>
  </si>
  <si>
    <t xml:space="preserve">Total cost of sales</t>
  </si>
  <si>
    <t xml:space="preserve">Gross profit</t>
  </si>
  <si>
    <t xml:space="preserve">Gross margin %</t>
  </si>
  <si>
    <t xml:space="preserve">Marketing</t>
  </si>
  <si>
    <t xml:space="preserve">Salaries and benefits</t>
  </si>
  <si>
    <t xml:space="preserve">Rent and occupancy</t>
  </si>
  <si>
    <t xml:space="preserve">Freight and logistics</t>
  </si>
  <si>
    <t xml:space="preserve">IT and software</t>
  </si>
  <si>
    <t xml:space="preserve">Travel</t>
  </si>
  <si>
    <t xml:space="preserve">Other admin</t>
  </si>
  <si>
    <t xml:space="preserve">Total operating expenses</t>
  </si>
  <si>
    <t xml:space="preserve">Operating profit</t>
  </si>
  <si>
    <t xml:space="preserve">Operating margin %</t>
  </si>
  <si>
    <t xml:space="preserve">Operating profit bridge: budget to actual</t>
  </si>
  <si>
    <t xml:space="preserve">Step</t>
  </si>
  <si>
    <t xml:space="preserve">Impact F/(U)</t>
  </si>
  <si>
    <t xml:space="preserve">Running total</t>
  </si>
  <si>
    <t xml:space="preserve">Chart helper: base</t>
  </si>
  <si>
    <t xml:space="preserve">Increase</t>
  </si>
  <si>
    <t xml:space="preserve">Decrease</t>
  </si>
  <si>
    <t xml:space="preserve">Budget operating profit</t>
  </si>
  <si>
    <t xml:space="preserve">Sales volume (at budget margin)</t>
  </si>
  <si>
    <t xml:space="preserve">Selling prices</t>
  </si>
  <si>
    <t xml:space="preserve">Product unit costs</t>
  </si>
  <si>
    <t xml:space="preserve">Actual operating profit</t>
  </si>
  <si>
    <t xml:space="preserve">Bridge check (should be 0)</t>
  </si>
  <si>
    <t xml:space="preserve">Variance Commentary: the major deviations and why they happened</t>
  </si>
  <si>
    <t xml:space="preserve">Amounts link to the analysis sheets, so they update if the data changes. The explanations describe the events built into this illustrative data.</t>
  </si>
  <si>
    <t xml:space="preserve">Area</t>
  </si>
  <si>
    <t xml:space="preserve">Variance F/(U) $k</t>
  </si>
  <si>
    <t xml:space="preserve">What happened</t>
  </si>
  <si>
    <t xml:space="preserve">Recommended action</t>
  </si>
  <si>
    <t xml:space="preserve">Apparel sales volume</t>
  </si>
  <si>
    <t xml:space="preserve">The spring marketing campaign (March to May) lifted Apparel unit sales by about 18% from March to July, and they stayed about 8% above budget for the rest of the year. Apparel added most of the revenue upside.</t>
  </si>
  <si>
    <t xml:space="preserve">Keep the campaign format; build the higher Apparel run-rate into next year's budget.</t>
  </si>
  <si>
    <t xml:space="preserve">The campaign cost about 40% more than budgeted marketing in March to May. It paid back: Apparel gross margin from the extra volume was well above the extra spend.</t>
  </si>
  <si>
    <t xml:space="preserve">Approve campaign spend through a business case so the overspend is planned rather than reported after the event.</t>
  </si>
  <si>
    <t xml:space="preserve">Running Shoes unit cost</t>
  </si>
  <si>
    <t xml:space="preserve">The main footwear supplier raised prices by 6% from June. Selling prices were not changed, so the whole increase came out of margin.</t>
  </si>
  <si>
    <t xml:space="preserve">Renegotiate or dual-source; consider a price rise on the next season's range.</t>
  </si>
  <si>
    <t xml:space="preserve">Shipping rates rose in the second half, taking freight from 4.0% to about 5.5% of revenue from July.</t>
  </si>
  <si>
    <t xml:space="preserve">Lock in contract rates; review whether the budget's 4% of revenue assumption is still realistic.</t>
  </si>
  <si>
    <t xml:space="preserve">Accessories selling price</t>
  </si>
  <si>
    <t xml:space="preserve">A 15% discount in October to December lifted Accessories volume by only about 5%, so the discount lost more revenue than it gained.</t>
  </si>
  <si>
    <t xml:space="preserve">Do not repeat broad discounting; use targeted promotions and measure their uplift.</t>
  </si>
  <si>
    <t xml:space="preserve">A one-off $240k ERP upgrade in September was not in the budget.</t>
  </si>
  <si>
    <t xml:space="preserve">One-off: exclude from run-rate. Add a capital projects line to next year's budget.</t>
  </si>
  <si>
    <t xml:space="preserve">Planned hires were delayed until mid-year, so salaries were below budget from January to June. This is a timing saving, not a lasting one.</t>
  </si>
  <si>
    <t xml:space="preserve">Treat as timing; the full cost is in the run-rate from July.</t>
  </si>
  <si>
    <t xml:space="preserve">Overall</t>
  </si>
  <si>
    <t xml:space="preserve">Revenue Analysis: price and volume</t>
  </si>
  <si>
    <t xml:space="preserve">Revenue variance split into volume (selling more or fewer units, at budget price) and price (selling at a different price). Positive = favourable.</t>
  </si>
  <si>
    <t xml:space="preserve">Product</t>
  </si>
  <si>
    <t xml:space="preserve">Budget units (k)</t>
  </si>
  <si>
    <t xml:space="preserve">Actual units (k)</t>
  </si>
  <si>
    <t xml:space="preserve">Volume %</t>
  </si>
  <si>
    <t xml:space="preserve">Budget avg price</t>
  </si>
  <si>
    <t xml:space="preserve">Actual avg price</t>
  </si>
  <si>
    <t xml:space="preserve">Price %</t>
  </si>
  <si>
    <t xml:space="preserve">Budget revenue</t>
  </si>
  <si>
    <t xml:space="preserve">Actual revenue</t>
  </si>
  <si>
    <t xml:space="preserve">Volume variance</t>
  </si>
  <si>
    <t xml:space="preserve">Price variance</t>
  </si>
  <si>
    <t xml:space="preserve">Total variance</t>
  </si>
  <si>
    <t xml:space="preserve">Check</t>
  </si>
  <si>
    <t xml:space="preserve">Running Shoes</t>
  </si>
  <si>
    <t xml:space="preserve">Apparel</t>
  </si>
  <si>
    <t xml:space="preserve">Accessories</t>
  </si>
  <si>
    <t xml:space="preserve">Total</t>
  </si>
  <si>
    <t xml:space="preserve">Volume variance = (actual units - budget units) x budget price.  Price variance = (actual price - budget price) x actual units. Both are calculated month by month and added up.</t>
  </si>
  <si>
    <t xml:space="preserve">Revenue mix</t>
  </si>
  <si>
    <t xml:space="preserve">Budget mix</t>
  </si>
  <si>
    <t xml:space="preserve">Actual mix</t>
  </si>
  <si>
    <t xml:space="preserve">Change (pts)</t>
  </si>
  <si>
    <t xml:space="preserve">Cost of sales split into volume and unit-cost effects, a flexible budget, and operating expenses. Positive = favourable (spent less than budget).</t>
  </si>
  <si>
    <t xml:space="preserve">Cost of sales</t>
  </si>
  <si>
    <t xml:space="preserve">Flexed budget (actual units at budget cost)</t>
  </si>
  <si>
    <t xml:space="preserve">Volume effect F/(U)</t>
  </si>
  <si>
    <t xml:space="preserve">Unit cost effect F/(U)</t>
  </si>
  <si>
    <t xml:space="preserve">Total variance F/(U)</t>
  </si>
  <si>
    <t xml:space="preserve">The volume effect is not a real overspend: selling more units costs more. The unit cost effect is the true cost overrun (actual units x (actual cost - budget cost)).</t>
  </si>
  <si>
    <t xml:space="preserve">Operating expenses</t>
  </si>
  <si>
    <t xml:space="preserve">Expense</t>
  </si>
  <si>
    <t xml:space="preserve">Budget % of revenue</t>
  </si>
  <si>
    <t xml:space="preserve">Actual % of revenue</t>
  </si>
  <si>
    <t xml:space="preserve">Monthly Variance Trend</t>
  </si>
  <si>
    <t xml:space="preserve">Monthly budget vs actual, $ thousands. Positive variance = favourable.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</si>
  <si>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</si>
  <si>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</si>
  <si>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</si>
  <si>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</si>
  <si>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</si>
  <si>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</si>
  <si>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</si>
  <si>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</si>
  <si>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</si>
  <si>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</si>
  <si>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</si>
  <si>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</si>
  <si>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 2025</t>
  </si>
  <si>
    <t xml:space="preserve">Revenue variance F/(U)</t>
  </si>
  <si>
    <t xml:space="preserve">Revenue variance %</t>
  </si>
  <si>
    <t xml:space="preserve">Budget operating expenses</t>
  </si>
  <si>
    <t xml:space="preserve">Actual operating expenses</t>
  </si>
  <si>
    <t xml:space="preserve">Opex variance F/(U)</t>
  </si>
  <si>
    <t xml:space="preserve">Operating profit variance F/(U)</t>
  </si>
  <si>
    <t xml:space="preserve">Cumulative (YTD) profit variance</t>
  </si>
  <si>
    <t xml:space="preserve">Budget gross margin %</t>
  </si>
  <si>
    <t xml:space="preserve">Actual gross margin %</t>
  </si>
  <si>
    <t xml:space="preserve">Chart helper: favourable</t>
  </si>
  <si>
    <t xml:space="preserve">Chart helper: unfavourable</t>
  </si>
  <si>
    <t xml:space="preserve">Budget: monthly P&amp;L, 2025</t>
  </si>
  <si>
    <t xml:space="preserve">Units in thousands, prices and unit costs in $, all other amounts in $ thousands. Blue = input.</t>
  </si>
  <si>
    <t xml:space="preserve">Volumes, prices and unit costs</t>
  </si>
  <si>
    <t xml:space="preserve">Running Shoes units (k)</t>
  </si>
  <si>
    <t xml:space="preserve">Running Shoes selling price ($)</t>
  </si>
  <si>
    <t xml:space="preserve">Running Shoes unit cost ($)</t>
  </si>
  <si>
    <t xml:space="preserve">Apparel units (k)</t>
  </si>
  <si>
    <t xml:space="preserve">Apparel selling price ($)</t>
  </si>
  <si>
    <t xml:space="preserve">Apparel unit cost ($)</t>
  </si>
  <si>
    <t xml:space="preserve">Accessories units (k)</t>
  </si>
  <si>
    <t xml:space="preserve">Accessories selling price ($)</t>
  </si>
  <si>
    <t xml:space="preserve">Accessories unit cost ($)</t>
  </si>
  <si>
    <t xml:space="preserve">Income statement</t>
  </si>
  <si>
    <t xml:space="preserve">Actual: monthly P&amp;L, 2025</t>
  </si>
  <si>
    <t xml:space="preserve">Every check should be 0. Data totals are the sums of the raw CSV files.</t>
  </si>
  <si>
    <t xml:space="preserve">Difference</t>
  </si>
  <si>
    <t xml:space="preserve">Budget revenue agrees to data</t>
  </si>
  <si>
    <t xml:space="preserve">Actual revenue agrees to data</t>
  </si>
  <si>
    <t xml:space="preserve">Budget opex agrees to data</t>
  </si>
  <si>
    <t xml:space="preserve">Actual opex agrees to data</t>
  </si>
  <si>
    <t xml:space="preserve">Price + volume = revenue variance</t>
  </si>
  <si>
    <t xml:space="preserve">Volume + unit cost = cost of sales variance</t>
  </si>
  <si>
    <t xml:space="preserve">Profit bridge adds up to actual profit</t>
  </si>
  <si>
    <t xml:space="preserve">Monthly profit variances add up to full year</t>
  </si>
  <si>
    <t xml:space="preserve">Overall status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</si>
</sst>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#,##0;\(#,##0\);\-"/>
    <numFmt numFmtId="167" formatCode="0.0%;\(0.0%\);\-"/>
    <numFmt numFmtId="168" formatCode="\+0.0&quot; pts&quot;;\-0.0&quot; pts&quot;;\-"/>
    <numFmt numFmtId="169" formatCode="#,##0"/>
    <numFmt numFmtId="170" formatCode="#,##0.0;\(#,##0.0\);\-"/>
    <numFmt numFmtId="171" formatCode="\$#,##0.00"/>
    <numFmt numFmtId="172" formatCode="#,##0.00;\(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CE6F1"/>
        <bgColor rgb="FFE1E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8781"/>
      <rgbColor rgb="FF800080"/>
      <rgbColor rgb="FF008080"/>
      <rgbColor rgb="FFC0C0C0"/>
      <rgbColor rgb="FF808080"/>
      <rgbColor rgb="FF9999FF"/>
      <rgbColor rgb="FFE34948"/>
      <rgbColor rgb="FFFCE4D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E0D9"/>
      <rgbColor rgb="FFE2EFDA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profit bridge, budget to actual ($k)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Summary!D30</c:f>
              <c:strCache>
                <c:ptCount val="1"/>
                <c:pt idx="0">
                  <c:v>Chart helper: 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Summary!$A$31:$A$42</c:f>
              <c:strCache>
                <c:ptCount val="12"/>
                <c:pt idx="0">
                  <c:v>Budget operating profit</c:v>
                </c:pt>
                <c:pt idx="1">
                  <c:v>Sales volume (at budget margin)</c:v>
                </c:pt>
                <c:pt idx="2">
                  <c:v>Selling prices</c:v>
                </c:pt>
                <c:pt idx="3">
                  <c:v>Product unit costs</c:v>
                </c:pt>
                <c:pt idx="4">
                  <c:v>Marketing</c:v>
                </c:pt>
                <c:pt idx="5">
                  <c:v>Salaries and benefits</c:v>
                </c:pt>
                <c:pt idx="6">
                  <c:v>Rent and occupancy</c:v>
                </c:pt>
                <c:pt idx="7">
                  <c:v>Freight and logistics</c:v>
                </c:pt>
                <c:pt idx="8">
                  <c:v>IT and software</c:v>
                </c:pt>
                <c:pt idx="9">
                  <c:v>Travel</c:v>
                </c:pt>
                <c:pt idx="10">
                  <c:v>Other admin</c:v>
                </c:pt>
                <c:pt idx="11">
                  <c:v>Actual operating profit</c:v>
                </c:pt>
              </c:strCache>
            </c:strRef>
          </c:cat>
          <c:val>
            <c:numRef>
              <c:f>Summary!$D$31:$D$42</c:f>
              <c:numCache>
                <c:formatCode>#,##0;\(#,##0\);\-</c:formatCode>
                <c:ptCount val="12"/>
                <c:pt idx="0">
                  <c:v>0</c:v>
                </c:pt>
                <c:pt idx="1">
                  <c:v>12078.2</c:v>
                </c:pt>
                <c:pt idx="2">
                  <c:v>12802.566</c:v>
                </c:pt>
                <c:pt idx="3">
                  <c:v>12424.5912</c:v>
                </c:pt>
                <c:pt idx="4">
                  <c:v>12135.2912</c:v>
                </c:pt>
                <c:pt idx="5">
                  <c:v>12135.2912</c:v>
                </c:pt>
                <c:pt idx="6">
                  <c:v>12465.2912</c:v>
                </c:pt>
                <c:pt idx="7">
                  <c:v>12024.5912</c:v>
                </c:pt>
                <c:pt idx="8">
                  <c:v>11784.5912</c:v>
                </c:pt>
                <c:pt idx="9">
                  <c:v>11784.5912</c:v>
                </c:pt>
                <c:pt idx="10">
                  <c:v>11824.1912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Summary!E30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898781"/>
              </a:solidFill>
              <a:ln w="0">
                <a:solidFill>
                  <a:srgbClr val="898781"/>
                </a:solidFill>
              </a:ln>
            </c:spPr>
          </c:dPt>
          <c:dPt>
            <c:idx val="11"/>
            <c:invertIfNegative val="0"/>
            <c:spPr>
              <a:solidFill>
                <a:srgbClr val="898781"/>
              </a:solidFill>
              <a:ln w="0">
                <a:solidFill>
                  <a:srgbClr val="898781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Summary!$A$31:$A$42</c:f>
              <c:strCache>
                <c:ptCount val="12"/>
                <c:pt idx="0">
                  <c:v>Budget operating profit</c:v>
                </c:pt>
                <c:pt idx="1">
                  <c:v>Sales volume (at budget margin)</c:v>
                </c:pt>
                <c:pt idx="2">
                  <c:v>Selling prices</c:v>
                </c:pt>
                <c:pt idx="3">
                  <c:v>Product unit costs</c:v>
                </c:pt>
                <c:pt idx="4">
                  <c:v>Marketing</c:v>
                </c:pt>
                <c:pt idx="5">
                  <c:v>Salaries and benefits</c:v>
                </c:pt>
                <c:pt idx="6">
                  <c:v>Rent and occupancy</c:v>
                </c:pt>
                <c:pt idx="7">
                  <c:v>Freight and logistics</c:v>
                </c:pt>
                <c:pt idx="8">
                  <c:v>IT and software</c:v>
                </c:pt>
                <c:pt idx="9">
                  <c:v>Travel</c:v>
                </c:pt>
                <c:pt idx="10">
                  <c:v>Other admin</c:v>
                </c:pt>
                <c:pt idx="11">
                  <c:v>Actual operating profit</c:v>
                </c:pt>
              </c:strCache>
            </c:strRef>
          </c:cat>
          <c:val>
            <c:numRef>
              <c:f>Summary!$E$31:$E$42</c:f>
              <c:numCache>
                <c:formatCode>#,##0;\(#,##0\);\-</c:formatCode>
                <c:ptCount val="12"/>
                <c:pt idx="0">
                  <c:v>12078.2</c:v>
                </c:pt>
                <c:pt idx="1">
                  <c:v>1028.56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39.6</c:v>
                </c:pt>
                <c:pt idx="10">
                  <c:v>8.80000000000007</c:v>
                </c:pt>
                <c:pt idx="11">
                  <c:v>11832.9912</c:v>
                </c:pt>
              </c:numCache>
            </c:numRef>
          </c:val>
        </c:ser>
        <c:ser>
          <c:idx val="2"/>
          <c:order val="2"/>
          <c:tx>
            <c:strRef>
              <c:f>Summary!F30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e34948"/>
            </a:solidFill>
            <a:ln w="0">
              <a:solidFill>
                <a:srgbClr val="e3494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Summary!$A$31:$A$42</c:f>
              <c:strCache>
                <c:ptCount val="12"/>
                <c:pt idx="0">
                  <c:v>Budget operating profit</c:v>
                </c:pt>
                <c:pt idx="1">
                  <c:v>Sales volume (at budget margin)</c:v>
                </c:pt>
                <c:pt idx="2">
                  <c:v>Selling prices</c:v>
                </c:pt>
                <c:pt idx="3">
                  <c:v>Product unit costs</c:v>
                </c:pt>
                <c:pt idx="4">
                  <c:v>Marketing</c:v>
                </c:pt>
                <c:pt idx="5">
                  <c:v>Salaries and benefits</c:v>
                </c:pt>
                <c:pt idx="6">
                  <c:v>Rent and occupancy</c:v>
                </c:pt>
                <c:pt idx="7">
                  <c:v>Freight and logistics</c:v>
                </c:pt>
                <c:pt idx="8">
                  <c:v>IT and software</c:v>
                </c:pt>
                <c:pt idx="9">
                  <c:v>Travel</c:v>
                </c:pt>
                <c:pt idx="10">
                  <c:v>Other admin</c:v>
                </c:pt>
                <c:pt idx="11">
                  <c:v>Actual operating profit</c:v>
                </c:pt>
              </c:strCache>
            </c:strRef>
          </c:cat>
          <c:val>
            <c:numRef>
              <c:f>Summary!$F$31:$F$42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304.194</c:v>
                </c:pt>
                <c:pt idx="3">
                  <c:v>377.9748</c:v>
                </c:pt>
                <c:pt idx="4">
                  <c:v>289.3</c:v>
                </c:pt>
                <c:pt idx="5">
                  <c:v>0</c:v>
                </c:pt>
                <c:pt idx="6">
                  <c:v>0</c:v>
                </c:pt>
                <c:pt idx="7">
                  <c:v>440.7</c:v>
                </c:pt>
                <c:pt idx="8">
                  <c:v>240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0"/>
        <c:overlap val="100"/>
        <c:axId val="14504239"/>
        <c:axId val="62364107"/>
      </c:barChart>
      <c:catAx>
        <c:axId val="1450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64107"/>
        <c:crosses val="autoZero"/>
        <c:auto val="1"/>
        <c:lblAlgn val="ctr"/>
        <c:lblOffset val="100"/>
        <c:noMultiLvlLbl val="0"/>
      </c:catAx>
      <c:valAx>
        <c:axId val="62364107"/>
        <c:scaling>
          <c:orientation val="minMax"/>
          <c:min val="1000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042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budget vs actual ($k)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Monthly!A5</c:f>
              <c:strCache>
                <c:ptCount val="1"/>
                <c:pt idx="0">
                  <c:v>Budget revenue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Monthly!$B$5:$M$5</c:f>
              <c:numCache>
                <c:formatCode>#,##0;\(#,##0\);\-</c:formatCode>
                <c:ptCount val="12"/>
                <c:pt idx="0">
                  <c:v>3272.5</c:v>
                </c:pt>
                <c:pt idx="1">
                  <c:v>3272.5</c:v>
                </c:pt>
                <c:pt idx="2">
                  <c:v>3657.5</c:v>
                </c:pt>
                <c:pt idx="3">
                  <c:v>3850</c:v>
                </c:pt>
                <c:pt idx="4">
                  <c:v>4042.5</c:v>
                </c:pt>
                <c:pt idx="5">
                  <c:v>4042.5</c:v>
                </c:pt>
                <c:pt idx="6">
                  <c:v>3850</c:v>
                </c:pt>
                <c:pt idx="7">
                  <c:v>3850</c:v>
                </c:pt>
                <c:pt idx="8">
                  <c:v>3657.5</c:v>
                </c:pt>
                <c:pt idx="9">
                  <c:v>3850</c:v>
                </c:pt>
                <c:pt idx="10">
                  <c:v>4427.5</c:v>
                </c:pt>
                <c:pt idx="11">
                  <c:v>5197.5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Monthly!A6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Monthly!$B$6:$M$6</c:f>
              <c:numCache>
                <c:formatCode>#,##0;\(#,##0\);\-</c:formatCode>
                <c:ptCount val="12"/>
                <c:pt idx="0">
                  <c:v>3233.08</c:v>
                </c:pt>
                <c:pt idx="1">
                  <c:v>3221.96</c:v>
                </c:pt>
                <c:pt idx="2">
                  <c:v>3888.48</c:v>
                </c:pt>
                <c:pt idx="3">
                  <c:v>4122.7</c:v>
                </c:pt>
                <c:pt idx="4">
                  <c:v>4295.7</c:v>
                </c:pt>
                <c:pt idx="5">
                  <c:v>4295.15</c:v>
                </c:pt>
                <c:pt idx="6">
                  <c:v>4016.67</c:v>
                </c:pt>
                <c:pt idx="7">
                  <c:v>3945.17</c:v>
                </c:pt>
                <c:pt idx="8">
                  <c:v>3763.06</c:v>
                </c:pt>
                <c:pt idx="9">
                  <c:v>3873.674</c:v>
                </c:pt>
                <c:pt idx="10">
                  <c:v>4522.686</c:v>
                </c:pt>
                <c:pt idx="11">
                  <c:v>5283.706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27956"/>
        <c:axId val="25851376"/>
      </c:lineChart>
      <c:catAx>
        <c:axId val="7127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51376"/>
        <c:crosses val="autoZero"/>
        <c:auto val="1"/>
        <c:lblAlgn val="ctr"/>
        <c:lblOffset val="100"/>
        <c:noMultiLvlLbl val="0"/>
      </c:catAx>
      <c:valAx>
        <c:axId val="25851376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79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operating profit variance F/(U) ($k)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Monthly!A21</c:f>
              <c:strCache>
                <c:ptCount val="1"/>
                <c:pt idx="0">
                  <c:v>Chart helper: favourable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Monthly!$B$21:$M$21</c:f>
              <c:numCache>
                <c:formatCode>#,##0;\(#,##0\);\-</c:formatCode>
                <c:ptCount val="12"/>
                <c:pt idx="0">
                  <c:v>37.3399999999999</c:v>
                </c:pt>
                <c:pt idx="1">
                  <c:v>30.4500000000003</c:v>
                </c:pt>
                <c:pt idx="2">
                  <c:v>88.1800000000001</c:v>
                </c:pt>
                <c:pt idx="3">
                  <c:v>106.67</c:v>
                </c:pt>
                <c:pt idx="4">
                  <c:v>92.7500000000002</c:v>
                </c:pt>
                <c:pt idx="5">
                  <c:v>131.489600000001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Monthly!A22</c:f>
              <c:strCache>
                <c:ptCount val="1"/>
                <c:pt idx="0">
                  <c:v>Chart helper: unfavourable</c:v>
                </c:pt>
              </c:strCache>
            </c:strRef>
          </c:tx>
          <c:spPr>
            <a:solidFill>
              <a:srgbClr val="e34948"/>
            </a:solidFill>
            <a:ln w="0">
              <a:solidFill>
                <a:srgbClr val="e3494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Monthly!$B$22:$M$22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-14.2180000000005</c:v>
                </c:pt>
                <c:pt idx="7">
                  <c:v>-55.1363999999999</c:v>
                </c:pt>
                <c:pt idx="8">
                  <c:v>-286.0312</c:v>
                </c:pt>
                <c:pt idx="9">
                  <c:v>-113.5448</c:v>
                </c:pt>
                <c:pt idx="10">
                  <c:v>-114.552000000001</c:v>
                </c:pt>
                <c:pt idx="11">
                  <c:v>-148.606</c:v>
                </c:pt>
              </c:numCache>
            </c:numRef>
          </c:val>
        </c:ser>
        <c:gapWidth val="150"/>
        <c:overlap val="100"/>
        <c:axId val="85122878"/>
        <c:axId val="7296848"/>
      </c:barChart>
      <c:catAx>
        <c:axId val="851228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6848"/>
        <c:crosses val="autoZero"/>
        <c:auto val="1"/>
        <c:lblAlgn val="ctr"/>
        <c:lblOffset val="100"/>
        <c:noMultiLvlLbl val="0"/>
      </c:catAx>
      <c:valAx>
        <c:axId val="7296848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228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27</xdr:row>
      <xdr:rowOff>160920</xdr:rowOff>
    </xdr:from>
    <xdr:to>
      <xdr:col>21</xdr:col>
      <xdr:colOff>78840</xdr:colOff>
      <xdr:row>44</xdr:row>
      <xdr:rowOff>49680</xdr:rowOff>
    </xdr:to>
    <xdr:graphicFrame>
      <xdr:nvGraphicFramePr>
        <xdr:cNvPr id="0" name="Chart 1"/>
        <xdr:cNvGraphicFramePr/>
      </xdr:nvGraphicFramePr>
      <xdr:xfrm>
        <a:off x="8083080" y="53341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6</xdr:col>
      <xdr:colOff>332280</xdr:colOff>
      <xdr:row>39</xdr:row>
      <xdr:rowOff>182880</xdr:rowOff>
    </xdr:to>
    <xdr:graphicFrame>
      <xdr:nvGraphicFramePr>
        <xdr:cNvPr id="1" name="Chart 1"/>
        <xdr:cNvGraphicFramePr/>
      </xdr:nvGraphicFramePr>
      <xdr:xfrm>
        <a:off x="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160560</xdr:rowOff>
    </xdr:from>
    <xdr:to>
      <xdr:col>15</xdr:col>
      <xdr:colOff>566640</xdr:colOff>
      <xdr:row>39</xdr:row>
      <xdr:rowOff>182880</xdr:rowOff>
    </xdr:to>
    <xdr:graphicFrame>
      <xdr:nvGraphicFramePr>
        <xdr:cNvPr id="2" name="Chart 2"/>
        <xdr:cNvGraphicFramePr/>
      </xdr:nvGraphicFramePr>
      <xdr:xfrm>
        <a:off x="606168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tr">
        <f aca="false">"Revenue "&amp;TEXT(Summary!E11,"+0.0%;-0.0%")&amp;" vs budget, operating profit "&amp;TEXT(Summary!E26,"+0.0%;-0.0%")&amp;": sold more, made less."</f>
        <v>Revenue +3.2% vs budget, operating profit -2.0%: sold more, made less.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3" t="s">
        <v>5</v>
      </c>
      <c r="B7" s="4"/>
    </row>
    <row r="8" customFormat="false" ht="15" hidden="false" customHeight="false" outlineLevel="0" collapsed="false">
      <c r="A8" s="3" t="s">
        <v>6</v>
      </c>
      <c r="B8" s="4" t="s">
        <v>7</v>
      </c>
    </row>
    <row r="9" customFormat="false" ht="15" hidden="false" customHeight="false" outlineLevel="0" collapsed="false">
      <c r="A9" s="3" t="s">
        <v>8</v>
      </c>
      <c r="B9" s="4" t="s">
        <v>9</v>
      </c>
    </row>
    <row r="10" customFormat="false" ht="15" hidden="false" customHeight="false" outlineLevel="0" collapsed="false">
      <c r="A10" s="3" t="s">
        <v>10</v>
      </c>
      <c r="B10" s="4" t="s">
        <v>11</v>
      </c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1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5" t="str">
        <f aca="false">Checks!B14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6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4" t="s">
        <v>29</v>
      </c>
      <c r="E4" s="7" t="n">
        <v>0.05</v>
      </c>
    </row>
    <row r="5" customFormat="false" ht="15" hidden="false" customHeight="false" outlineLevel="0" collapsed="false">
      <c r="A5" s="4" t="s">
        <v>30</v>
      </c>
      <c r="E5" s="8" t="n">
        <v>100</v>
      </c>
    </row>
    <row r="7" customFormat="false" ht="15" hidden="false" customHeight="false" outlineLevel="0" collapsed="false">
      <c r="A7" s="9" t="s">
        <v>31</v>
      </c>
      <c r="B7" s="10" t="s">
        <v>32</v>
      </c>
      <c r="C7" s="10" t="s">
        <v>33</v>
      </c>
      <c r="D7" s="10" t="s">
        <v>34</v>
      </c>
      <c r="E7" s="10" t="s">
        <v>35</v>
      </c>
      <c r="F7" s="10" t="s">
        <v>36</v>
      </c>
    </row>
    <row r="8" customFormat="false" ht="15" hidden="false" customHeight="false" outlineLevel="0" collapsed="false">
      <c r="A8" s="4" t="s">
        <v>37</v>
      </c>
      <c r="B8" s="11" t="n">
        <f aca="false">Budget!N17</f>
        <v>23180</v>
      </c>
      <c r="C8" s="11" t="n">
        <f aca="false">Actual!N17</f>
        <v>23196.15</v>
      </c>
      <c r="D8" s="12" t="n">
        <f aca="false">C8-B8</f>
        <v>16.1500000000015</v>
      </c>
      <c r="E8" s="13" t="n">
        <f aca="false">IF(B8=0,0,D8/ABS(B8))</f>
        <v>0.000696721311475473</v>
      </c>
      <c r="F8" s="4" t="str">
        <f aca="false">IF(AND(ABS(E8)&gt;=Summary!$E$4,ABS(D8)&gt;=Summary!$E$5),IF(D8&gt;=0,"Favourable: review","Adverse: investigate"),IF(ROUND(D8,0)=0,"On budget",IF(D8&gt;0,"Favourable","Unfavourable")))</f>
        <v>Favourable</v>
      </c>
    </row>
    <row r="9" customFormat="false" ht="15" hidden="false" customHeight="false" outlineLevel="0" collapsed="false">
      <c r="A9" s="4" t="s">
        <v>38</v>
      </c>
      <c r="B9" s="11" t="n">
        <f aca="false">Budget!N18</f>
        <v>17080</v>
      </c>
      <c r="C9" s="11" t="n">
        <f aca="false">Actual!N18</f>
        <v>18925.2</v>
      </c>
      <c r="D9" s="12" t="n">
        <f aca="false">C9-B9</f>
        <v>1845.2</v>
      </c>
      <c r="E9" s="13" t="n">
        <f aca="false">IF(B9=0,0,D9/ABS(B9))</f>
        <v>0.108032786885246</v>
      </c>
      <c r="F9" s="4" t="str">
        <f aca="false">IF(AND(ABS(E9)&gt;=Summary!$E$4,ABS(D9)&gt;=Summary!$E$5),IF(D9&gt;=0,"Favourable: review","Adverse: investigate"),IF(ROUND(D9,0)=0,"On budget",IF(D9&gt;0,"Favourable","Unfavourable")))</f>
        <v>Favourable: review</v>
      </c>
    </row>
    <row r="10" customFormat="false" ht="15" hidden="false" customHeight="false" outlineLevel="0" collapsed="false">
      <c r="A10" s="4" t="s">
        <v>39</v>
      </c>
      <c r="B10" s="11" t="n">
        <f aca="false">Budget!N19</f>
        <v>6710</v>
      </c>
      <c r="C10" s="11" t="n">
        <f aca="false">Actual!N19</f>
        <v>6340.686</v>
      </c>
      <c r="D10" s="12" t="n">
        <f aca="false">C10-B10</f>
        <v>-369.314</v>
      </c>
      <c r="E10" s="13" t="n">
        <f aca="false">IF(B10=0,0,D10/ABS(B10))</f>
        <v>-0.0550393442622951</v>
      </c>
      <c r="F10" s="4" t="str">
        <f aca="false">IF(AND(ABS(E10)&gt;=Summary!$E$4,ABS(D10)&gt;=Summary!$E$5),IF(D10&gt;=0,"Favourable: review","Adverse: investigate"),IF(ROUND(D10,0)=0,"On budget",IF(D10&gt;0,"Favourable","Unfavourable")))</f>
        <v>Adverse: investigate</v>
      </c>
    </row>
    <row r="11" customFormat="false" ht="15" hidden="false" customHeight="false" outlineLevel="0" collapsed="false">
      <c r="A11" s="14" t="s">
        <v>40</v>
      </c>
      <c r="B11" s="15" t="n">
        <f aca="false">Budget!N20</f>
        <v>46970</v>
      </c>
      <c r="C11" s="15" t="n">
        <f aca="false">Actual!N20</f>
        <v>48462.036</v>
      </c>
      <c r="D11" s="16" t="n">
        <f aca="false">C11-B11</f>
        <v>1492.036</v>
      </c>
      <c r="E11" s="17" t="n">
        <f aca="false">IF(B11=0,0,D11/ABS(B11))</f>
        <v>0.0317657228017884</v>
      </c>
      <c r="F11" s="14" t="str">
        <f aca="false">IF(AND(ABS(E11)&gt;=Summary!$E$4,ABS(D11)&gt;=Summary!$E$5),IF(D11&gt;=0,"Favourable: review","Adverse: investigate"),IF(ROUND(D11,0)=0,"On budget",IF(D11&gt;0,"Favourable","Unfavourable")))</f>
        <v>Favourable</v>
      </c>
    </row>
    <row r="12" customFormat="false" ht="15" hidden="false" customHeight="false" outlineLevel="0" collapsed="false">
      <c r="A12" s="4" t="s">
        <v>41</v>
      </c>
      <c r="B12" s="11" t="n">
        <f aca="false">Budget!N21</f>
        <v>10248</v>
      </c>
      <c r="C12" s="11" t="n">
        <f aca="false">Actual!N21</f>
        <v>10633.1148</v>
      </c>
      <c r="D12" s="12" t="n">
        <f aca="false">B12-C12</f>
        <v>-385.114800000001</v>
      </c>
      <c r="E12" s="13" t="n">
        <f aca="false">IF(B12=0,0,D12/ABS(B12))</f>
        <v>-0.0375795081967214</v>
      </c>
      <c r="F12" s="4" t="str">
        <f aca="false">IF(AND(ABS(E12)&gt;=Summary!$E$4,ABS(D12)&gt;=Summary!$E$5),IF(D12&gt;=0,"Favourable: review","Adverse: investigate"),IF(ROUND(D12,0)=0,"On budget",IF(D12&gt;0,"Favourable","Unfavourable")))</f>
        <v>Unfavourable</v>
      </c>
    </row>
    <row r="13" customFormat="false" ht="15" hidden="false" customHeight="false" outlineLevel="0" collapsed="false">
      <c r="A13" s="4" t="s">
        <v>42</v>
      </c>
      <c r="B13" s="11" t="n">
        <f aca="false">Budget!N22</f>
        <v>7259</v>
      </c>
      <c r="C13" s="11" t="n">
        <f aca="false">Actual!N22</f>
        <v>8043.21</v>
      </c>
      <c r="D13" s="12" t="n">
        <f aca="false">B13-C13</f>
        <v>-784.209999999999</v>
      </c>
      <c r="E13" s="13" t="n">
        <f aca="false">IF(B13=0,0,D13/ABS(B13))</f>
        <v>-0.108032786885246</v>
      </c>
      <c r="F13" s="4" t="str">
        <f aca="false">IF(AND(ABS(E13)&gt;=Summary!$E$4,ABS(D13)&gt;=Summary!$E$5),IF(D13&gt;=0,"Favourable: review","Adverse: investigate"),IF(ROUND(D13,0)=0,"On budget",IF(D13&gt;0,"Favourable","Unfavourable")))</f>
        <v>Adverse: investigate</v>
      </c>
    </row>
    <row r="14" customFormat="false" ht="15" hidden="false" customHeight="false" outlineLevel="0" collapsed="false">
      <c r="A14" s="4" t="s">
        <v>43</v>
      </c>
      <c r="B14" s="11" t="n">
        <f aca="false">Budget!N23</f>
        <v>2440</v>
      </c>
      <c r="C14" s="11" t="n">
        <f aca="false">Actual!N23</f>
        <v>2416.32</v>
      </c>
      <c r="D14" s="12" t="n">
        <f aca="false">B14-C14</f>
        <v>23.6799999999998</v>
      </c>
      <c r="E14" s="13" t="n">
        <f aca="false">IF(B14=0,0,D14/ABS(B14))</f>
        <v>0.00970491803278682</v>
      </c>
      <c r="F14" s="4" t="str">
        <f aca="false">IF(AND(ABS(E14)&gt;=Summary!$E$4,ABS(D14)&gt;=Summary!$E$5),IF(D14&gt;=0,"Favourable: review","Adverse: investigate"),IF(ROUND(D14,0)=0,"On budget",IF(D14&gt;0,"Favourable","Unfavourable")))</f>
        <v>Favourable</v>
      </c>
    </row>
    <row r="15" customFormat="false" ht="15" hidden="false" customHeight="false" outlineLevel="0" collapsed="false">
      <c r="A15" s="14" t="s">
        <v>44</v>
      </c>
      <c r="B15" s="15" t="n">
        <f aca="false">Budget!N24</f>
        <v>19947</v>
      </c>
      <c r="C15" s="15" t="n">
        <f aca="false">Actual!N24</f>
        <v>21092.6448</v>
      </c>
      <c r="D15" s="16" t="n">
        <f aca="false">B15-C15</f>
        <v>-1145.6448</v>
      </c>
      <c r="E15" s="17" t="n">
        <f aca="false">IF(B15=0,0,D15/ABS(B15))</f>
        <v>-0.0574344412693639</v>
      </c>
      <c r="F15" s="14" t="str">
        <f aca="false">IF(AND(ABS(E15)&gt;=Summary!$E$4,ABS(D15)&gt;=Summary!$E$5),IF(D15&gt;=0,"Favourable: review","Adverse: investigate"),IF(ROUND(D15,0)=0,"On budget",IF(D15&gt;0,"Favourable","Unfavourable")))</f>
        <v>Adverse: investigate</v>
      </c>
    </row>
    <row r="16" customFormat="false" ht="15" hidden="false" customHeight="false" outlineLevel="0" collapsed="false">
      <c r="A16" s="14" t="s">
        <v>45</v>
      </c>
      <c r="B16" s="15" t="n">
        <f aca="false">Budget!N25</f>
        <v>27023</v>
      </c>
      <c r="C16" s="15" t="n">
        <f aca="false">Actual!N25</f>
        <v>27369.3912</v>
      </c>
      <c r="D16" s="16" t="n">
        <f aca="false">C16-B16</f>
        <v>346.391199999998</v>
      </c>
      <c r="E16" s="17" t="n">
        <f aca="false">IF(B16=0,0,D16/ABS(B16))</f>
        <v>0.0128183843392665</v>
      </c>
      <c r="F16" s="14" t="str">
        <f aca="false">IF(AND(ABS(E16)&gt;=Summary!$E$4,ABS(D16)&gt;=Summary!$E$5),IF(D16&gt;=0,"Favourable: review","Adverse: investigate"),IF(ROUND(D16,0)=0,"On budget",IF(D16&gt;0,"Favourable","Unfavourable")))</f>
        <v>Favourable</v>
      </c>
    </row>
    <row r="17" customFormat="false" ht="15" hidden="false" customHeight="false" outlineLevel="0" collapsed="false">
      <c r="A17" s="4" t="s">
        <v>46</v>
      </c>
      <c r="B17" s="18" t="n">
        <f aca="false">Budget!N26</f>
        <v>0.575324675324675</v>
      </c>
      <c r="C17" s="18" t="n">
        <f aca="false">Actual!N26</f>
        <v>0.564759417041414</v>
      </c>
      <c r="D17" s="19" t="n">
        <f aca="false">(C17-B17)*100</f>
        <v>-1.05652582832618</v>
      </c>
      <c r="E17" s="4"/>
      <c r="F17" s="4"/>
    </row>
    <row r="18" customFormat="false" ht="15" hidden="false" customHeight="false" outlineLevel="0" collapsed="false">
      <c r="A18" s="4" t="s">
        <v>47</v>
      </c>
      <c r="B18" s="11" t="n">
        <f aca="false">Budget!N28</f>
        <v>2806</v>
      </c>
      <c r="C18" s="11" t="n">
        <f aca="false">Actual!N28</f>
        <v>3095.3</v>
      </c>
      <c r="D18" s="12" t="n">
        <f aca="false">B18-C18</f>
        <v>-289.3</v>
      </c>
      <c r="E18" s="13" t="n">
        <f aca="false">IF(B18=0,0,D18/ABS(B18))</f>
        <v>-0.103100498930863</v>
      </c>
      <c r="F18" s="4" t="str">
        <f aca="false">IF(AND(ABS(E18)&gt;=Summary!$E$4,ABS(D18)&gt;=Summary!$E$5),IF(D18&gt;=0,"Favourable: review","Adverse: investigate"),IF(ROUND(D18,0)=0,"On budget",IF(D18&gt;0,"Favourable","Unfavourable")))</f>
        <v>Adverse: investigate</v>
      </c>
    </row>
    <row r="19" customFormat="false" ht="15" hidden="false" customHeight="false" outlineLevel="0" collapsed="false">
      <c r="A19" s="4" t="s">
        <v>48</v>
      </c>
      <c r="B19" s="11" t="n">
        <f aca="false">Budget!N29</f>
        <v>6240</v>
      </c>
      <c r="C19" s="11" t="n">
        <f aca="false">Actual!N29</f>
        <v>5910</v>
      </c>
      <c r="D19" s="12" t="n">
        <f aca="false">B19-C19</f>
        <v>330</v>
      </c>
      <c r="E19" s="13" t="n">
        <f aca="false">IF(B19=0,0,D19/ABS(B19))</f>
        <v>0.0528846153846154</v>
      </c>
      <c r="F19" s="4" t="str">
        <f aca="false">IF(AND(ABS(E19)&gt;=Summary!$E$4,ABS(D19)&gt;=Summary!$E$5),IF(D19&gt;=0,"Favourable: review","Adverse: investigate"),IF(ROUND(D19,0)=0,"On budget",IF(D19&gt;0,"Favourable","Unfavourable")))</f>
        <v>Favourable: review</v>
      </c>
    </row>
    <row r="20" customFormat="false" ht="15" hidden="false" customHeight="false" outlineLevel="0" collapsed="false">
      <c r="A20" s="4" t="s">
        <v>49</v>
      </c>
      <c r="B20" s="11" t="n">
        <f aca="false">Budget!N30</f>
        <v>2160</v>
      </c>
      <c r="C20" s="11" t="n">
        <f aca="false">Actual!N30</f>
        <v>2160</v>
      </c>
      <c r="D20" s="12" t="n">
        <f aca="false">B20-C20</f>
        <v>0</v>
      </c>
      <c r="E20" s="13" t="n">
        <f aca="false">IF(B20=0,0,D20/ABS(B20))</f>
        <v>0</v>
      </c>
      <c r="F20" s="4" t="str">
        <f aca="false">IF(AND(ABS(E20)&gt;=Summary!$E$4,ABS(D20)&gt;=Summary!$E$5),IF(D20&gt;=0,"Favourable: review","Adverse: investigate"),IF(ROUND(D20,0)=0,"On budget",IF(D20&gt;0,"Favourable","Unfavourable")))</f>
        <v>On budget</v>
      </c>
    </row>
    <row r="21" customFormat="false" ht="15" hidden="false" customHeight="false" outlineLevel="0" collapsed="false">
      <c r="A21" s="4" t="s">
        <v>50</v>
      </c>
      <c r="B21" s="11" t="n">
        <f aca="false">Budget!N31</f>
        <v>1878.8</v>
      </c>
      <c r="C21" s="11" t="n">
        <f aca="false">Actual!N31</f>
        <v>2319.5</v>
      </c>
      <c r="D21" s="12" t="n">
        <f aca="false">B21-C21</f>
        <v>-440.7</v>
      </c>
      <c r="E21" s="13" t="n">
        <f aca="false">IF(B21=0,0,D21/ABS(B21))</f>
        <v>-0.234564615712157</v>
      </c>
      <c r="F21" s="4" t="str">
        <f aca="false">IF(AND(ABS(E21)&gt;=Summary!$E$4,ABS(D21)&gt;=Summary!$E$5),IF(D21&gt;=0,"Favourable: review","Adverse: investigate"),IF(ROUND(D21,0)=0,"On budget",IF(D21&gt;0,"Favourable","Unfavourable")))</f>
        <v>Adverse: investigate</v>
      </c>
    </row>
    <row r="22" customFormat="false" ht="15" hidden="false" customHeight="false" outlineLevel="0" collapsed="false">
      <c r="A22" s="4" t="s">
        <v>51</v>
      </c>
      <c r="B22" s="11" t="n">
        <f aca="false">Budget!N32</f>
        <v>720</v>
      </c>
      <c r="C22" s="11" t="n">
        <f aca="false">Actual!N32</f>
        <v>960</v>
      </c>
      <c r="D22" s="12" t="n">
        <f aca="false">B22-C22</f>
        <v>-240</v>
      </c>
      <c r="E22" s="13" t="n">
        <f aca="false">IF(B22=0,0,D22/ABS(B22))</f>
        <v>-0.333333333333333</v>
      </c>
      <c r="F22" s="4" t="str">
        <f aca="false">IF(AND(ABS(E22)&gt;=Summary!$E$4,ABS(D22)&gt;=Summary!$E$5),IF(D22&gt;=0,"Favourable: review","Adverse: investigate"),IF(ROUND(D22,0)=0,"On budget",IF(D22&gt;0,"Favourable","Unfavourable")))</f>
        <v>Adverse: investigate</v>
      </c>
    </row>
    <row r="23" customFormat="false" ht="15" hidden="false" customHeight="false" outlineLevel="0" collapsed="false">
      <c r="A23" s="4" t="s">
        <v>52</v>
      </c>
      <c r="B23" s="11" t="n">
        <f aca="false">Budget!N33</f>
        <v>300</v>
      </c>
      <c r="C23" s="11" t="n">
        <f aca="false">Actual!N33</f>
        <v>260.4</v>
      </c>
      <c r="D23" s="12" t="n">
        <f aca="false">B23-C23</f>
        <v>39.6</v>
      </c>
      <c r="E23" s="13" t="n">
        <f aca="false">IF(B23=0,0,D23/ABS(B23))</f>
        <v>0.132</v>
      </c>
      <c r="F23" s="4" t="str">
        <f aca="false">IF(AND(ABS(E23)&gt;=Summary!$E$4,ABS(D23)&gt;=Summary!$E$5),IF(D23&gt;=0,"Favourable: review","Adverse: investigate"),IF(ROUND(D23,0)=0,"On budget",IF(D23&gt;0,"Favourable","Unfavourable")))</f>
        <v>Favourable</v>
      </c>
    </row>
    <row r="24" customFormat="false" ht="15" hidden="false" customHeight="false" outlineLevel="0" collapsed="false">
      <c r="A24" s="4" t="s">
        <v>53</v>
      </c>
      <c r="B24" s="11" t="n">
        <f aca="false">Budget!N34</f>
        <v>840</v>
      </c>
      <c r="C24" s="11" t="n">
        <f aca="false">Actual!N34</f>
        <v>831.2</v>
      </c>
      <c r="D24" s="12" t="n">
        <f aca="false">B24-C24</f>
        <v>8.80000000000007</v>
      </c>
      <c r="E24" s="13" t="n">
        <f aca="false">IF(B24=0,0,D24/ABS(B24))</f>
        <v>0.0104761904761906</v>
      </c>
      <c r="F24" s="4" t="str">
        <f aca="false">IF(AND(ABS(E24)&gt;=Summary!$E$4,ABS(D24)&gt;=Summary!$E$5),IF(D24&gt;=0,"Favourable: review","Adverse: investigate"),IF(ROUND(D24,0)=0,"On budget",IF(D24&gt;0,"Favourable","Unfavourable")))</f>
        <v>Favourable</v>
      </c>
    </row>
    <row r="25" customFormat="false" ht="15" hidden="false" customHeight="false" outlineLevel="0" collapsed="false">
      <c r="A25" s="14" t="s">
        <v>54</v>
      </c>
      <c r="B25" s="15" t="n">
        <f aca="false">Budget!N35</f>
        <v>14944.8</v>
      </c>
      <c r="C25" s="15" t="n">
        <f aca="false">Actual!N35</f>
        <v>15536.4</v>
      </c>
      <c r="D25" s="16" t="n">
        <f aca="false">B25-C25</f>
        <v>-591.600000000002</v>
      </c>
      <c r="E25" s="17" t="n">
        <f aca="false">IF(B25=0,0,D25/ABS(B25))</f>
        <v>-0.0395856752850491</v>
      </c>
      <c r="F25" s="14" t="str">
        <f aca="false">IF(AND(ABS(E25)&gt;=Summary!$E$4,ABS(D25)&gt;=Summary!$E$5),IF(D25&gt;=0,"Favourable: review","Adverse: investigate"),IF(ROUND(D25,0)=0,"On budget",IF(D25&gt;0,"Favourable","Unfavourable")))</f>
        <v>Unfavourable</v>
      </c>
    </row>
    <row r="26" customFormat="false" ht="15" hidden="false" customHeight="false" outlineLevel="0" collapsed="false">
      <c r="A26" s="14" t="s">
        <v>55</v>
      </c>
      <c r="B26" s="15" t="n">
        <f aca="false">Budget!N36</f>
        <v>12078.2</v>
      </c>
      <c r="C26" s="15" t="n">
        <f aca="false">Actual!N36</f>
        <v>11832.9912</v>
      </c>
      <c r="D26" s="16" t="n">
        <f aca="false">C26-B26</f>
        <v>-245.208800000004</v>
      </c>
      <c r="E26" s="17" t="n">
        <f aca="false">IF(B26=0,0,D26/ABS(B26))</f>
        <v>-0.0203017668195595</v>
      </c>
      <c r="F26" s="14" t="str">
        <f aca="false">IF(AND(ABS(E26)&gt;=Summary!$E$4,ABS(D26)&gt;=Summary!$E$5),IF(D26&gt;=0,"Favourable: review","Adverse: investigate"),IF(ROUND(D26,0)=0,"On budget",IF(D26&gt;0,"Favourable","Unfavourable")))</f>
        <v>Unfavourable</v>
      </c>
    </row>
    <row r="27" customFormat="false" ht="15" hidden="false" customHeight="false" outlineLevel="0" collapsed="false">
      <c r="A27" s="4" t="s">
        <v>56</v>
      </c>
      <c r="B27" s="18" t="n">
        <f aca="false">Budget!N37</f>
        <v>0.257147115179902</v>
      </c>
      <c r="C27" s="18" t="n">
        <f aca="false">Actual!N37</f>
        <v>0.244170327470352</v>
      </c>
      <c r="D27" s="19" t="n">
        <f aca="false">(C27-B27)*100</f>
        <v>-1.29767877095499</v>
      </c>
      <c r="E27" s="4"/>
      <c r="F27" s="4"/>
    </row>
    <row r="29" customFormat="false" ht="15" hidden="false" customHeight="false" outlineLevel="0" collapsed="false">
      <c r="A29" s="20" t="s">
        <v>57</v>
      </c>
      <c r="B29" s="21"/>
      <c r="C29" s="21"/>
      <c r="D29" s="21"/>
      <c r="E29" s="21"/>
      <c r="F29" s="21"/>
    </row>
    <row r="30" customFormat="false" ht="23.85" hidden="false" customHeight="false" outlineLevel="0" collapsed="false">
      <c r="A30" s="9" t="s">
        <v>58</v>
      </c>
      <c r="B30" s="10" t="s">
        <v>59</v>
      </c>
      <c r="C30" s="10" t="s">
        <v>60</v>
      </c>
      <c r="D30" s="10" t="s">
        <v>61</v>
      </c>
      <c r="E30" s="10" t="s">
        <v>62</v>
      </c>
      <c r="F30" s="10" t="s">
        <v>63</v>
      </c>
    </row>
    <row r="31" customFormat="false" ht="15" hidden="false" customHeight="false" outlineLevel="0" collapsed="false">
      <c r="A31" s="3" t="s">
        <v>64</v>
      </c>
      <c r="B31" s="11" t="n">
        <f aca="false">Budget!N36</f>
        <v>12078.2</v>
      </c>
      <c r="C31" s="22" t="n">
        <f aca="false">B31</f>
        <v>12078.2</v>
      </c>
      <c r="D31" s="23" t="n">
        <v>0</v>
      </c>
      <c r="E31" s="23" t="n">
        <f aca="false">B31</f>
        <v>12078.2</v>
      </c>
      <c r="F31" s="23" t="n">
        <v>0</v>
      </c>
    </row>
    <row r="32" customFormat="false" ht="15" hidden="false" customHeight="false" outlineLevel="0" collapsed="false">
      <c r="A32" s="4" t="s">
        <v>65</v>
      </c>
      <c r="B32" s="12" t="n">
        <f aca="false">SUMPRODUCT(Actual!B6:M6-Budget!B6:M6,Budget!B7:M7-Budget!B8:M8)+SUMPRODUCT(Actual!B9:M9-Budget!B9:M9,Budget!B10:M10-Budget!B11:M11)+SUMPRODUCT(Actual!B12:M12-Budget!B12:M12,Budget!B13:M13-Budget!B14:M14)</f>
        <v>1028.56</v>
      </c>
      <c r="C32" s="22" t="n">
        <f aca="false">C31+B32</f>
        <v>13106.76</v>
      </c>
      <c r="D32" s="23" t="n">
        <f aca="false">MIN(C31,C32)</f>
        <v>12078.2</v>
      </c>
      <c r="E32" s="23" t="n">
        <f aca="false">MAX(B32,0)</f>
        <v>1028.56</v>
      </c>
      <c r="F32" s="23" t="n">
        <f aca="false">MAX(-B32,0)</f>
        <v>0</v>
      </c>
    </row>
    <row r="33" customFormat="false" ht="15" hidden="false" customHeight="false" outlineLevel="0" collapsed="false">
      <c r="A33" s="4" t="s">
        <v>66</v>
      </c>
      <c r="B33" s="12" t="n">
        <f aca="false">SUMPRODUCT(Actual!B7:M7-Budget!B7:M7,Actual!B6:M6)+SUMPRODUCT(Actual!B10:M10-Budget!B10:M10,Actual!B9:M9)+SUMPRODUCT(Actual!B13:M13-Budget!B13:M13,Actual!B12:M12)</f>
        <v>-304.194</v>
      </c>
      <c r="C33" s="22" t="n">
        <f aca="false">C32+B33</f>
        <v>12802.566</v>
      </c>
      <c r="D33" s="23" t="n">
        <f aca="false">MIN(C32,C33)</f>
        <v>12802.566</v>
      </c>
      <c r="E33" s="23" t="n">
        <f aca="false">MAX(B33,0)</f>
        <v>0</v>
      </c>
      <c r="F33" s="23" t="n">
        <f aca="false">MAX(-B33,0)</f>
        <v>304.194</v>
      </c>
    </row>
    <row r="34" customFormat="false" ht="15" hidden="false" customHeight="false" outlineLevel="0" collapsed="false">
      <c r="A34" s="4" t="s">
        <v>67</v>
      </c>
      <c r="B34" s="12" t="n">
        <f aca="false">SUMPRODUCT(Budget!B8:M8-Actual!B8:M8,Actual!B6:M6)+SUMPRODUCT(Budget!B11:M11-Actual!B11:M11,Actual!B9:M9)+SUMPRODUCT(Budget!B14:M14-Actual!B14:M14,Actual!B12:M12)</f>
        <v>-377.9748</v>
      </c>
      <c r="C34" s="22" t="n">
        <f aca="false">C33+B34</f>
        <v>12424.5912</v>
      </c>
      <c r="D34" s="23" t="n">
        <f aca="false">MIN(C33,C34)</f>
        <v>12424.5912</v>
      </c>
      <c r="E34" s="23" t="n">
        <f aca="false">MAX(B34,0)</f>
        <v>0</v>
      </c>
      <c r="F34" s="23" t="n">
        <f aca="false">MAX(-B34,0)</f>
        <v>377.9748</v>
      </c>
    </row>
    <row r="35" customFormat="false" ht="15" hidden="false" customHeight="false" outlineLevel="0" collapsed="false">
      <c r="A35" s="4" t="s">
        <v>47</v>
      </c>
      <c r="B35" s="12" t="n">
        <f aca="false">Budget!N28-Actual!N28</f>
        <v>-289.3</v>
      </c>
      <c r="C35" s="22" t="n">
        <f aca="false">C34+B35</f>
        <v>12135.2912</v>
      </c>
      <c r="D35" s="23" t="n">
        <f aca="false">MIN(C34,C35)</f>
        <v>12135.2912</v>
      </c>
      <c r="E35" s="23" t="n">
        <f aca="false">MAX(B35,0)</f>
        <v>0</v>
      </c>
      <c r="F35" s="23" t="n">
        <f aca="false">MAX(-B35,0)</f>
        <v>289.3</v>
      </c>
    </row>
    <row r="36" customFormat="false" ht="15" hidden="false" customHeight="false" outlineLevel="0" collapsed="false">
      <c r="A36" s="4" t="s">
        <v>48</v>
      </c>
      <c r="B36" s="12" t="n">
        <f aca="false">Budget!N29-Actual!N29</f>
        <v>330</v>
      </c>
      <c r="C36" s="22" t="n">
        <f aca="false">C35+B36</f>
        <v>12465.2912</v>
      </c>
      <c r="D36" s="23" t="n">
        <f aca="false">MIN(C35,C36)</f>
        <v>12135.2912</v>
      </c>
      <c r="E36" s="23" t="n">
        <f aca="false">MAX(B36,0)</f>
        <v>330</v>
      </c>
      <c r="F36" s="23" t="n">
        <f aca="false">MAX(-B36,0)</f>
        <v>0</v>
      </c>
    </row>
    <row r="37" customFormat="false" ht="15" hidden="false" customHeight="false" outlineLevel="0" collapsed="false">
      <c r="A37" s="4" t="s">
        <v>49</v>
      </c>
      <c r="B37" s="12" t="n">
        <f aca="false">Budget!N30-Actual!N30</f>
        <v>0</v>
      </c>
      <c r="C37" s="22" t="n">
        <f aca="false">C36+B37</f>
        <v>12465.2912</v>
      </c>
      <c r="D37" s="23" t="n">
        <f aca="false">MIN(C36,C37)</f>
        <v>12465.2912</v>
      </c>
      <c r="E37" s="23" t="n">
        <f aca="false">MAX(B37,0)</f>
        <v>0</v>
      </c>
      <c r="F37" s="23" t="n">
        <f aca="false">MAX(-B37,0)</f>
        <v>0</v>
      </c>
    </row>
    <row r="38" customFormat="false" ht="15" hidden="false" customHeight="false" outlineLevel="0" collapsed="false">
      <c r="A38" s="4" t="s">
        <v>50</v>
      </c>
      <c r="B38" s="12" t="n">
        <f aca="false">Budget!N31-Actual!N31</f>
        <v>-440.7</v>
      </c>
      <c r="C38" s="22" t="n">
        <f aca="false">C37+B38</f>
        <v>12024.5912</v>
      </c>
      <c r="D38" s="23" t="n">
        <f aca="false">MIN(C37,C38)</f>
        <v>12024.5912</v>
      </c>
      <c r="E38" s="23" t="n">
        <f aca="false">MAX(B38,0)</f>
        <v>0</v>
      </c>
      <c r="F38" s="23" t="n">
        <f aca="false">MAX(-B38,0)</f>
        <v>440.7</v>
      </c>
    </row>
    <row r="39" customFormat="false" ht="15" hidden="false" customHeight="false" outlineLevel="0" collapsed="false">
      <c r="A39" s="4" t="s">
        <v>51</v>
      </c>
      <c r="B39" s="12" t="n">
        <f aca="false">Budget!N32-Actual!N32</f>
        <v>-240</v>
      </c>
      <c r="C39" s="22" t="n">
        <f aca="false">C38+B39</f>
        <v>11784.5912</v>
      </c>
      <c r="D39" s="23" t="n">
        <f aca="false">MIN(C38,C39)</f>
        <v>11784.5912</v>
      </c>
      <c r="E39" s="23" t="n">
        <f aca="false">MAX(B39,0)</f>
        <v>0</v>
      </c>
      <c r="F39" s="23" t="n">
        <f aca="false">MAX(-B39,0)</f>
        <v>240</v>
      </c>
    </row>
    <row r="40" customFormat="false" ht="15" hidden="false" customHeight="false" outlineLevel="0" collapsed="false">
      <c r="A40" s="4" t="s">
        <v>52</v>
      </c>
      <c r="B40" s="12" t="n">
        <f aca="false">Budget!N33-Actual!N33</f>
        <v>39.6</v>
      </c>
      <c r="C40" s="22" t="n">
        <f aca="false">C39+B40</f>
        <v>11824.1912</v>
      </c>
      <c r="D40" s="23" t="n">
        <f aca="false">MIN(C39,C40)</f>
        <v>11784.5912</v>
      </c>
      <c r="E40" s="23" t="n">
        <f aca="false">MAX(B40,0)</f>
        <v>39.6</v>
      </c>
      <c r="F40" s="23" t="n">
        <f aca="false">MAX(-B40,0)</f>
        <v>0</v>
      </c>
    </row>
    <row r="41" customFormat="false" ht="15" hidden="false" customHeight="false" outlineLevel="0" collapsed="false">
      <c r="A41" s="4" t="s">
        <v>53</v>
      </c>
      <c r="B41" s="12" t="n">
        <f aca="false">Budget!N34-Actual!N34</f>
        <v>8.80000000000007</v>
      </c>
      <c r="C41" s="22" t="n">
        <f aca="false">C40+B41</f>
        <v>11832.9912</v>
      </c>
      <c r="D41" s="23" t="n">
        <f aca="false">MIN(C40,C41)</f>
        <v>11824.1912</v>
      </c>
      <c r="E41" s="23" t="n">
        <f aca="false">MAX(B41,0)</f>
        <v>8.80000000000007</v>
      </c>
      <c r="F41" s="23" t="n">
        <f aca="false">MAX(-B41,0)</f>
        <v>0</v>
      </c>
    </row>
    <row r="42" customFormat="false" ht="15" hidden="false" customHeight="false" outlineLevel="0" collapsed="false">
      <c r="A42" s="3" t="s">
        <v>68</v>
      </c>
      <c r="B42" s="11" t="n">
        <f aca="false">Actual!N36</f>
        <v>11832.9912</v>
      </c>
      <c r="C42" s="22" t="n">
        <f aca="false">B42</f>
        <v>11832.9912</v>
      </c>
      <c r="D42" s="23" t="n">
        <v>0</v>
      </c>
      <c r="E42" s="23" t="n">
        <f aca="false">B42</f>
        <v>11832.9912</v>
      </c>
      <c r="F42" s="23" t="n">
        <v>0</v>
      </c>
    </row>
    <row r="43" customFormat="false" ht="15" hidden="false" customHeight="false" outlineLevel="0" collapsed="false">
      <c r="A43" s="2" t="s">
        <v>69</v>
      </c>
      <c r="B43" s="22" t="n">
        <f aca="false">ROUND(C41-B42,2)</f>
        <v>0</v>
      </c>
    </row>
  </sheetData>
  <conditionalFormatting sqref="F8:F27">
    <cfRule type="expression" priority="2" aboveAverage="0" equalAverage="0" bottom="0" percent="0" rank="0" text="" dxfId="0">
      <formula>LEFT(F8,7)="Adverse"</formula>
    </cfRule>
    <cfRule type="expression" priority="3" aboveAverage="0" equalAverage="0" bottom="0" percent="0" rank="0" text="" dxfId="1">
      <formula>F8="Favourable: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70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70</v>
      </c>
    </row>
    <row r="2" customFormat="false" ht="15" hidden="false" customHeight="false" outlineLevel="0" collapsed="false">
      <c r="A2" s="2" t="s">
        <v>71</v>
      </c>
    </row>
    <row r="4" customFormat="false" ht="27.75" hidden="false" customHeight="true" outlineLevel="0" collapsed="false">
      <c r="A4" s="9" t="s">
        <v>72</v>
      </c>
      <c r="B4" s="10" t="s">
        <v>73</v>
      </c>
      <c r="C4" s="10" t="s">
        <v>35</v>
      </c>
      <c r="D4" s="9" t="s">
        <v>74</v>
      </c>
      <c r="E4" s="9" t="s">
        <v>75</v>
      </c>
    </row>
    <row r="5" customFormat="false" ht="39.75" hidden="false" customHeight="true" outlineLevel="0" collapsed="false">
      <c r="A5" s="24" t="s">
        <v>76</v>
      </c>
      <c r="B5" s="25" t="n">
        <f aca="false">'Revenue Analysis'!J6</f>
        <v>1845.2</v>
      </c>
      <c r="C5" s="26" t="n">
        <f aca="false">'Revenue Analysis'!D6</f>
        <v>0.108032786885246</v>
      </c>
      <c r="D5" s="27" t="s">
        <v>77</v>
      </c>
      <c r="E5" s="27" t="s">
        <v>78</v>
      </c>
    </row>
    <row r="6" customFormat="false" ht="39.75" hidden="false" customHeight="true" outlineLevel="0" collapsed="false">
      <c r="A6" s="24" t="s">
        <v>47</v>
      </c>
      <c r="B6" s="25" t="n">
        <f aca="false">Summary!D18</f>
        <v>-289.3</v>
      </c>
      <c r="C6" s="26" t="n">
        <f aca="false">Summary!E18</f>
        <v>-0.103100498930863</v>
      </c>
      <c r="D6" s="27" t="s">
        <v>79</v>
      </c>
      <c r="E6" s="27" t="s">
        <v>80</v>
      </c>
    </row>
    <row r="7" customFormat="false" ht="39.75" hidden="false" customHeight="true" outlineLevel="0" collapsed="false">
      <c r="A7" s="24" t="s">
        <v>81</v>
      </c>
      <c r="B7" s="25" t="n">
        <f aca="false">'Cost Analysis'!F5</f>
        <v>-377.974800000002</v>
      </c>
      <c r="C7" s="28"/>
      <c r="D7" s="27" t="s">
        <v>82</v>
      </c>
      <c r="E7" s="27" t="s">
        <v>83</v>
      </c>
    </row>
    <row r="8" customFormat="false" ht="39.75" hidden="false" customHeight="true" outlineLevel="0" collapsed="false">
      <c r="A8" s="24" t="s">
        <v>50</v>
      </c>
      <c r="B8" s="25" t="n">
        <f aca="false">Summary!D21</f>
        <v>-440.7</v>
      </c>
      <c r="C8" s="26" t="n">
        <f aca="false">Summary!E21</f>
        <v>-0.234564615712157</v>
      </c>
      <c r="D8" s="27" t="s">
        <v>84</v>
      </c>
      <c r="E8" s="27" t="s">
        <v>85</v>
      </c>
    </row>
    <row r="9" customFormat="false" ht="39.75" hidden="false" customHeight="true" outlineLevel="0" collapsed="false">
      <c r="A9" s="24" t="s">
        <v>86</v>
      </c>
      <c r="B9" s="25" t="n">
        <f aca="false">'Revenue Analysis'!K7</f>
        <v>-304.194</v>
      </c>
      <c r="C9" s="26" t="n">
        <f aca="false">'Revenue Analysis'!G7</f>
        <v>-0.0457787048073104</v>
      </c>
      <c r="D9" s="27" t="s">
        <v>87</v>
      </c>
      <c r="E9" s="27" t="s">
        <v>88</v>
      </c>
    </row>
    <row r="10" customFormat="false" ht="39.75" hidden="false" customHeight="true" outlineLevel="0" collapsed="false">
      <c r="A10" s="24" t="s">
        <v>51</v>
      </c>
      <c r="B10" s="25" t="n">
        <f aca="false">Summary!D22</f>
        <v>-240</v>
      </c>
      <c r="C10" s="26" t="n">
        <f aca="false">Summary!E22</f>
        <v>-0.333333333333333</v>
      </c>
      <c r="D10" s="27" t="s">
        <v>89</v>
      </c>
      <c r="E10" s="27" t="s">
        <v>90</v>
      </c>
    </row>
    <row r="11" customFormat="false" ht="39.75" hidden="false" customHeight="true" outlineLevel="0" collapsed="false">
      <c r="A11" s="24" t="s">
        <v>48</v>
      </c>
      <c r="B11" s="25" t="n">
        <f aca="false">Summary!D19</f>
        <v>330</v>
      </c>
      <c r="C11" s="26" t="n">
        <f aca="false">Summary!E19</f>
        <v>0.0528846153846154</v>
      </c>
      <c r="D11" s="27" t="s">
        <v>91</v>
      </c>
      <c r="E11" s="27" t="s">
        <v>92</v>
      </c>
    </row>
    <row r="13" customFormat="false" ht="15" hidden="false" customHeight="false" outlineLevel="0" collapsed="false">
      <c r="A13" s="20" t="s">
        <v>93</v>
      </c>
      <c r="B13" s="21"/>
      <c r="C13" s="21"/>
      <c r="D13" s="21"/>
      <c r="E13" s="21"/>
    </row>
    <row r="14" customFormat="false" ht="27.75" hidden="false" customHeight="true" outlineLevel="0" collapsed="false">
      <c r="A14" s="29" t="str">
        <f aca="false">"Revenue was "&amp;TEXT(Summary!D11,"#,##0")&amp;"k ("&amp;TEXT(Summary!E11,"0.0%")&amp;") above budget, but operating profit was "&amp;TEXT(-Summary!D26,"#,##0")&amp;"k ("&amp;TEXT(-Summary!E26,"0.0%")&amp;") below budget."</f>
        <v>Revenue was 1,492k (3.2%) above budget, but operating profit was 245k (2.0%) below budget.</v>
      </c>
      <c r="B14" s="29"/>
      <c r="C14" s="29"/>
      <c r="D14" s="29"/>
      <c r="E14" s="29"/>
    </row>
    <row r="15" customFormat="false" ht="27.75" hidden="false" customHeight="true" outlineLevel="0" collapsed="false">
      <c r="A15" s="29" t="str">
        <f aca="false">"The company sold more but made less: higher volumes were more than offset by higher unit costs, discounting, freight and one-off IT spend."</f>
        <v>The company sold more but made less: higher volumes were more than offset by higher unit costs, discounting, freight and one-off IT spend.</v>
      </c>
      <c r="B15" s="29"/>
      <c r="C15" s="29"/>
      <c r="D15" s="29"/>
      <c r="E15" s="29"/>
    </row>
    <row r="16" customFormat="false" ht="27.75" hidden="false" customHeight="true" outlineLevel="0" collapsed="false">
      <c r="A16" s="29" t="str">
        <f aca="false">"Operating margin fell from "&amp;TEXT(Summary!B27,"0.0%")&amp;" (budget) to "&amp;TEXT(Summary!C27,"0.0%")&amp;". The IT project is one-off and the salary saving was only timing, but the supplier price rise and higher freight rates are likely to continue, so next year needs action on pricing and costs."</f>
        <v>Operating margin fell from 25.7% (budget) to 24.4%. The IT project is one-off and the salary saving was only timing, but the supplier price rise and higher freight rates are likely to continue, so next year needs action on pricing and costs.</v>
      </c>
      <c r="B16" s="29"/>
      <c r="C16" s="29"/>
      <c r="D16" s="29"/>
      <c r="E16" s="29"/>
    </row>
  </sheetData>
  <mergeCells count="3"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6" t="s">
        <v>94</v>
      </c>
    </row>
    <row r="2" customFormat="false" ht="15" hidden="false" customHeight="false" outlineLevel="0" collapsed="false">
      <c r="A2" s="2" t="s">
        <v>95</v>
      </c>
    </row>
    <row r="4" customFormat="false" ht="30" hidden="false" customHeight="true" outlineLevel="0" collapsed="false">
      <c r="A4" s="9" t="s">
        <v>96</v>
      </c>
      <c r="B4" s="10" t="s">
        <v>97</v>
      </c>
      <c r="C4" s="10" t="s">
        <v>98</v>
      </c>
      <c r="D4" s="10" t="s">
        <v>99</v>
      </c>
      <c r="E4" s="10" t="s">
        <v>100</v>
      </c>
      <c r="F4" s="10" t="s">
        <v>101</v>
      </c>
      <c r="G4" s="10" t="s">
        <v>102</v>
      </c>
      <c r="H4" s="10" t="s">
        <v>103</v>
      </c>
      <c r="I4" s="10" t="s">
        <v>104</v>
      </c>
      <c r="J4" s="10" t="s">
        <v>105</v>
      </c>
      <c r="K4" s="10" t="s">
        <v>106</v>
      </c>
      <c r="L4" s="10" t="s">
        <v>107</v>
      </c>
      <c r="M4" s="10" t="s">
        <v>108</v>
      </c>
    </row>
    <row r="5" customFormat="false" ht="15" hidden="false" customHeight="false" outlineLevel="0" collapsed="false">
      <c r="A5" s="4" t="s">
        <v>109</v>
      </c>
      <c r="B5" s="30" t="n">
        <f aca="false">Budget!N6</f>
        <v>244</v>
      </c>
      <c r="C5" s="30" t="n">
        <f aca="false">Actual!N6</f>
        <v>244.17</v>
      </c>
      <c r="D5" s="31" t="n">
        <f aca="false">C5/B5-1</f>
        <v>0.000696721311475468</v>
      </c>
      <c r="E5" s="32" t="n">
        <f aca="false">Budget!N7</f>
        <v>95</v>
      </c>
      <c r="F5" s="32" t="n">
        <f aca="false">Actual!N7</f>
        <v>95</v>
      </c>
      <c r="G5" s="31" t="n">
        <f aca="false">F5/E5-1</f>
        <v>0</v>
      </c>
      <c r="H5" s="11" t="n">
        <f aca="false">Budget!N17</f>
        <v>23180</v>
      </c>
      <c r="I5" s="11" t="n">
        <f aca="false">Actual!N17</f>
        <v>23196.15</v>
      </c>
      <c r="J5" s="22" t="n">
        <f aca="false">SUMPRODUCT(Actual!B6:M6-Budget!B6:M6,Budget!B7:M7)</f>
        <v>16.1499999999998</v>
      </c>
      <c r="K5" s="22" t="n">
        <f aca="false">SUMPRODUCT(Actual!B7:M7-Budget!B7:M7,Actual!B6:M6)</f>
        <v>0</v>
      </c>
      <c r="L5" s="22" t="n">
        <f aca="false">J5+K5</f>
        <v>16.1499999999998</v>
      </c>
      <c r="M5" s="22" t="n">
        <f aca="false">ROUND(L5-(I5-H5),2)</f>
        <v>-0</v>
      </c>
    </row>
    <row r="6" customFormat="false" ht="15" hidden="false" customHeight="false" outlineLevel="0" collapsed="false">
      <c r="A6" s="4" t="s">
        <v>110</v>
      </c>
      <c r="B6" s="30" t="n">
        <f aca="false">Budget!N9</f>
        <v>427</v>
      </c>
      <c r="C6" s="30" t="n">
        <f aca="false">Actual!N9</f>
        <v>473.13</v>
      </c>
      <c r="D6" s="31" t="n">
        <f aca="false">C6/B6-1</f>
        <v>0.108032786885246</v>
      </c>
      <c r="E6" s="32" t="n">
        <f aca="false">Budget!N10</f>
        <v>40</v>
      </c>
      <c r="F6" s="32" t="n">
        <f aca="false">Actual!N10</f>
        <v>40</v>
      </c>
      <c r="G6" s="31" t="n">
        <f aca="false">F6/E6-1</f>
        <v>0</v>
      </c>
      <c r="H6" s="11" t="n">
        <f aca="false">Budget!N18</f>
        <v>17080</v>
      </c>
      <c r="I6" s="11" t="n">
        <f aca="false">Actual!N18</f>
        <v>18925.2</v>
      </c>
      <c r="J6" s="22" t="n">
        <f aca="false">SUMPRODUCT(Actual!B9:M9-Budget!B9:M9,Budget!B10:M10)</f>
        <v>1845.2</v>
      </c>
      <c r="K6" s="22" t="n">
        <f aca="false">SUMPRODUCT(Actual!B10:M10-Budget!B10:M10,Actual!B9:M9)</f>
        <v>0</v>
      </c>
      <c r="L6" s="22" t="n">
        <f aca="false">J6+K6</f>
        <v>1845.2</v>
      </c>
      <c r="M6" s="22" t="n">
        <f aca="false">ROUND(L6-(I6-H6),2)</f>
        <v>0</v>
      </c>
    </row>
    <row r="7" customFormat="false" ht="15" hidden="false" customHeight="false" outlineLevel="0" collapsed="false">
      <c r="A7" s="4" t="s">
        <v>111</v>
      </c>
      <c r="B7" s="30" t="n">
        <f aca="false">Budget!N12</f>
        <v>305</v>
      </c>
      <c r="C7" s="30" t="n">
        <f aca="false">Actual!N12</f>
        <v>302.04</v>
      </c>
      <c r="D7" s="31" t="n">
        <f aca="false">C7/B7-1</f>
        <v>-0.00970491803278684</v>
      </c>
      <c r="E7" s="32" t="n">
        <f aca="false">Budget!N13</f>
        <v>22</v>
      </c>
      <c r="F7" s="32" t="n">
        <f aca="false">Actual!N13</f>
        <v>20.9928684942392</v>
      </c>
      <c r="G7" s="31" t="n">
        <f aca="false">F7/E7-1</f>
        <v>-0.0457787048073104</v>
      </c>
      <c r="H7" s="11" t="n">
        <f aca="false">Budget!N19</f>
        <v>6710</v>
      </c>
      <c r="I7" s="11" t="n">
        <f aca="false">Actual!N19</f>
        <v>6340.686</v>
      </c>
      <c r="J7" s="22" t="n">
        <f aca="false">SUMPRODUCT(Actual!B12:M12-Budget!B12:M12,Budget!B13:M13)</f>
        <v>-65.12</v>
      </c>
      <c r="K7" s="22" t="n">
        <f aca="false">SUMPRODUCT(Actual!B13:M13-Budget!B13:M13,Actual!B12:M12)</f>
        <v>-304.194</v>
      </c>
      <c r="L7" s="22" t="n">
        <f aca="false">J7+K7</f>
        <v>-369.314</v>
      </c>
      <c r="M7" s="22" t="n">
        <f aca="false">ROUND(L7-(I7-H7),2)</f>
        <v>0</v>
      </c>
    </row>
    <row r="8" customFormat="false" ht="15" hidden="false" customHeight="false" outlineLevel="0" collapsed="false">
      <c r="A8" s="3" t="s">
        <v>112</v>
      </c>
      <c r="B8" s="33" t="n">
        <f aca="false">SUM(B5:B7)</f>
        <v>976</v>
      </c>
      <c r="C8" s="33" t="n">
        <f aca="false">SUM(C5:C7)</f>
        <v>1019.34</v>
      </c>
      <c r="D8" s="31" t="n">
        <f aca="false">C8/B8-1</f>
        <v>0.0444057377049179</v>
      </c>
      <c r="E8" s="34"/>
      <c r="F8" s="34"/>
      <c r="G8" s="31"/>
      <c r="H8" s="16" t="n">
        <f aca="false">SUM(H5:H7)</f>
        <v>46970</v>
      </c>
      <c r="I8" s="16" t="n">
        <f aca="false">SUM(I5:I7)</f>
        <v>48462.036</v>
      </c>
      <c r="J8" s="16" t="n">
        <f aca="false">SUM(J5:J7)</f>
        <v>1796.23</v>
      </c>
      <c r="K8" s="16" t="n">
        <f aca="false">SUM(K5:K7)</f>
        <v>-304.194</v>
      </c>
      <c r="L8" s="16" t="n">
        <f aca="false">SUM(L5:L7)</f>
        <v>1492.036</v>
      </c>
      <c r="M8" s="16" t="n">
        <f aca="false">SUM(M5:M7)</f>
        <v>0</v>
      </c>
    </row>
    <row r="10" customFormat="false" ht="15" hidden="false" customHeight="false" outlineLevel="0" collapsed="false">
      <c r="A10" s="2" t="s">
        <v>113</v>
      </c>
    </row>
    <row r="12" customFormat="false" ht="15" hidden="false" customHeight="false" outlineLevel="0" collapsed="false">
      <c r="A12" s="20" t="s">
        <v>114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customFormat="false" ht="15" hidden="false" customHeight="false" outlineLevel="0" collapsed="false">
      <c r="A13" s="9" t="s">
        <v>96</v>
      </c>
      <c r="B13" s="10" t="s">
        <v>115</v>
      </c>
      <c r="C13" s="10" t="s">
        <v>116</v>
      </c>
      <c r="D13" s="10" t="s">
        <v>117</v>
      </c>
    </row>
    <row r="14" customFormat="false" ht="15" hidden="false" customHeight="false" outlineLevel="0" collapsed="false">
      <c r="A14" s="0" t="s">
        <v>109</v>
      </c>
      <c r="B14" s="31" t="n">
        <f aca="false">H5/H8</f>
        <v>0.493506493506494</v>
      </c>
      <c r="C14" s="31" t="n">
        <f aca="false">I5/I8</f>
        <v>0.478645800188832</v>
      </c>
      <c r="D14" s="35" t="n">
        <f aca="false">(C14-B14)*100</f>
        <v>-1.48606933176612</v>
      </c>
    </row>
    <row r="15" customFormat="false" ht="15" hidden="false" customHeight="false" outlineLevel="0" collapsed="false">
      <c r="A15" s="0" t="s">
        <v>110</v>
      </c>
      <c r="B15" s="31" t="n">
        <f aca="false">H6/H8</f>
        <v>0.363636363636364</v>
      </c>
      <c r="C15" s="31" t="n">
        <f aca="false">I6/I8</f>
        <v>0.390515990702495</v>
      </c>
      <c r="D15" s="35" t="n">
        <f aca="false">(C15-B15)*100</f>
        <v>2.68796270661317</v>
      </c>
    </row>
    <row r="16" customFormat="false" ht="15" hidden="false" customHeight="false" outlineLevel="0" collapsed="false">
      <c r="A16" s="0" t="s">
        <v>111</v>
      </c>
      <c r="B16" s="31" t="n">
        <f aca="false">H7/H8</f>
        <v>0.142857142857143</v>
      </c>
      <c r="C16" s="31" t="n">
        <f aca="false">I7/I8</f>
        <v>0.130838209108672</v>
      </c>
      <c r="D16" s="35" t="n">
        <f aca="false">(C16-B16)*100</f>
        <v>-1.20189337484707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6" t="s">
        <v>12</v>
      </c>
    </row>
    <row r="2" customFormat="false" ht="15" hidden="false" customHeight="false" outlineLevel="0" collapsed="false">
      <c r="A2" s="2" t="s">
        <v>118</v>
      </c>
    </row>
    <row r="4" customFormat="false" ht="42" hidden="false" customHeight="true" outlineLevel="0" collapsed="false">
      <c r="A4" s="9" t="s">
        <v>119</v>
      </c>
      <c r="B4" s="10" t="s">
        <v>32</v>
      </c>
      <c r="C4" s="10" t="s">
        <v>120</v>
      </c>
      <c r="D4" s="10" t="s">
        <v>33</v>
      </c>
      <c r="E4" s="10" t="s">
        <v>121</v>
      </c>
      <c r="F4" s="10" t="s">
        <v>122</v>
      </c>
      <c r="G4" s="10" t="s">
        <v>123</v>
      </c>
      <c r="H4" s="10" t="s">
        <v>108</v>
      </c>
    </row>
    <row r="5" customFormat="false" ht="15" hidden="false" customHeight="false" outlineLevel="0" collapsed="false">
      <c r="A5" s="4" t="s">
        <v>109</v>
      </c>
      <c r="B5" s="11" t="n">
        <f aca="false">Budget!N21</f>
        <v>10248</v>
      </c>
      <c r="C5" s="22" t="n">
        <f aca="false">SUMPRODUCT(Actual!B6:M6,Budget!B8:M8)</f>
        <v>10255.14</v>
      </c>
      <c r="D5" s="11" t="n">
        <f aca="false">Actual!N21</f>
        <v>10633.1148</v>
      </c>
      <c r="E5" s="22" t="n">
        <f aca="false">B5-C5</f>
        <v>-7.13999999999942</v>
      </c>
      <c r="F5" s="22" t="n">
        <f aca="false">C5-D5</f>
        <v>-377.974800000002</v>
      </c>
      <c r="G5" s="22" t="n">
        <f aca="false">E5+F5</f>
        <v>-385.114800000001</v>
      </c>
      <c r="H5" s="22" t="n">
        <f aca="false">ROUND(G5-(B5-D5),2)</f>
        <v>0</v>
      </c>
    </row>
    <row r="6" customFormat="false" ht="15" hidden="false" customHeight="false" outlineLevel="0" collapsed="false">
      <c r="A6" s="4" t="s">
        <v>110</v>
      </c>
      <c r="B6" s="11" t="n">
        <f aca="false">Budget!N22</f>
        <v>7259</v>
      </c>
      <c r="C6" s="22" t="n">
        <f aca="false">SUMPRODUCT(Actual!B9:M9,Budget!B11:M11)</f>
        <v>8043.21</v>
      </c>
      <c r="D6" s="11" t="n">
        <f aca="false">Actual!N22</f>
        <v>8043.21</v>
      </c>
      <c r="E6" s="22" t="n">
        <f aca="false">B6-C6</f>
        <v>-784.21</v>
      </c>
      <c r="F6" s="22" t="n">
        <f aca="false">C6-D6</f>
        <v>0</v>
      </c>
      <c r="G6" s="22" t="n">
        <f aca="false">E6+F6</f>
        <v>-784.21</v>
      </c>
      <c r="H6" s="22" t="n">
        <f aca="false">ROUND(G6-(B6-D6),2)</f>
        <v>0</v>
      </c>
    </row>
    <row r="7" customFormat="false" ht="15" hidden="false" customHeight="false" outlineLevel="0" collapsed="false">
      <c r="A7" s="4" t="s">
        <v>111</v>
      </c>
      <c r="B7" s="11" t="n">
        <f aca="false">Budget!N23</f>
        <v>2440</v>
      </c>
      <c r="C7" s="22" t="n">
        <f aca="false">SUMPRODUCT(Actual!B12:M12,Budget!B14:M14)</f>
        <v>2416.32</v>
      </c>
      <c r="D7" s="11" t="n">
        <f aca="false">Actual!N23</f>
        <v>2416.32</v>
      </c>
      <c r="E7" s="22" t="n">
        <f aca="false">B7-C7</f>
        <v>23.6799999999998</v>
      </c>
      <c r="F7" s="22" t="n">
        <f aca="false">C7-D7</f>
        <v>0</v>
      </c>
      <c r="G7" s="22" t="n">
        <f aca="false">E7+F7</f>
        <v>23.6799999999998</v>
      </c>
      <c r="H7" s="22" t="n">
        <f aca="false">ROUND(G7-(B7-D7),2)</f>
        <v>0</v>
      </c>
    </row>
    <row r="8" customFormat="false" ht="15" hidden="false" customHeight="false" outlineLevel="0" collapsed="false">
      <c r="A8" s="3" t="s">
        <v>44</v>
      </c>
      <c r="B8" s="16" t="n">
        <f aca="false">SUM(B5:B7)</f>
        <v>19947</v>
      </c>
      <c r="C8" s="16" t="n">
        <f aca="false">SUM(C5:C7)</f>
        <v>20714.67</v>
      </c>
      <c r="D8" s="16" t="n">
        <f aca="false">SUM(D5:D7)</f>
        <v>21092.6448</v>
      </c>
      <c r="E8" s="16" t="n">
        <f aca="false">SUM(E5:E7)</f>
        <v>-767.67</v>
      </c>
      <c r="F8" s="16" t="n">
        <f aca="false">SUM(F5:F7)</f>
        <v>-377.974800000002</v>
      </c>
      <c r="G8" s="16" t="n">
        <f aca="false">SUM(G5:G7)</f>
        <v>-1145.6448</v>
      </c>
      <c r="H8" s="16" t="n">
        <f aca="false">SUM(H5:H7)</f>
        <v>0</v>
      </c>
    </row>
    <row r="9" customFormat="false" ht="15" hidden="false" customHeight="false" outlineLevel="0" collapsed="false">
      <c r="A9" s="2" t="s">
        <v>124</v>
      </c>
    </row>
    <row r="11" customFormat="false" ht="15" hidden="false" customHeight="false" outlineLevel="0" collapsed="false">
      <c r="A11" s="20" t="s">
        <v>125</v>
      </c>
      <c r="B11" s="21"/>
      <c r="C11" s="21"/>
      <c r="D11" s="21"/>
      <c r="E11" s="21"/>
      <c r="F11" s="21"/>
      <c r="G11" s="21"/>
      <c r="H11" s="21"/>
    </row>
    <row r="12" customFormat="false" ht="23.85" hidden="false" customHeight="false" outlineLevel="0" collapsed="false">
      <c r="A12" s="9" t="s">
        <v>126</v>
      </c>
      <c r="B12" s="10" t="s">
        <v>32</v>
      </c>
      <c r="C12" s="10" t="s">
        <v>33</v>
      </c>
      <c r="D12" s="10" t="s">
        <v>34</v>
      </c>
      <c r="E12" s="10" t="s">
        <v>35</v>
      </c>
      <c r="F12" s="10" t="s">
        <v>127</v>
      </c>
      <c r="G12" s="10" t="s">
        <v>128</v>
      </c>
      <c r="H12" s="10" t="s">
        <v>36</v>
      </c>
    </row>
    <row r="13" customFormat="false" ht="15" hidden="false" customHeight="false" outlineLevel="0" collapsed="false">
      <c r="A13" s="4" t="s">
        <v>47</v>
      </c>
      <c r="B13" s="11" t="n">
        <f aca="false">Budget!N28</f>
        <v>2806</v>
      </c>
      <c r="C13" s="11" t="n">
        <f aca="false">Actual!N28</f>
        <v>3095.3</v>
      </c>
      <c r="D13" s="22" t="n">
        <f aca="false">B13-C13</f>
        <v>-289.3</v>
      </c>
      <c r="E13" s="31" t="n">
        <f aca="false">D13/B13</f>
        <v>-0.103100498930863</v>
      </c>
      <c r="F13" s="31" t="n">
        <f aca="false">B13/Budget!N20</f>
        <v>0.0597402597402597</v>
      </c>
      <c r="G13" s="31" t="n">
        <f aca="false">C13/Actual!N20</f>
        <v>0.0638706141029651</v>
      </c>
      <c r="H13" s="36" t="str">
        <f aca="false">Summary!F18</f>
        <v>Adverse: investigate</v>
      </c>
    </row>
    <row r="14" customFormat="false" ht="15" hidden="false" customHeight="false" outlineLevel="0" collapsed="false">
      <c r="A14" s="4" t="s">
        <v>48</v>
      </c>
      <c r="B14" s="11" t="n">
        <f aca="false">Budget!N29</f>
        <v>6240</v>
      </c>
      <c r="C14" s="11" t="n">
        <f aca="false">Actual!N29</f>
        <v>5910</v>
      </c>
      <c r="D14" s="22" t="n">
        <f aca="false">B14-C14</f>
        <v>330</v>
      </c>
      <c r="E14" s="31" t="n">
        <f aca="false">D14/B14</f>
        <v>0.0528846153846154</v>
      </c>
      <c r="F14" s="31" t="n">
        <f aca="false">B14/Budget!N20</f>
        <v>0.132850755801576</v>
      </c>
      <c r="G14" s="31" t="n">
        <f aca="false">C14/Actual!N20</f>
        <v>0.121951128920791</v>
      </c>
      <c r="H14" s="36" t="str">
        <f aca="false">Summary!F19</f>
        <v>Favourable: review</v>
      </c>
    </row>
    <row r="15" customFormat="false" ht="15" hidden="false" customHeight="false" outlineLevel="0" collapsed="false">
      <c r="A15" s="4" t="s">
        <v>49</v>
      </c>
      <c r="B15" s="11" t="n">
        <f aca="false">Budget!N30</f>
        <v>2160</v>
      </c>
      <c r="C15" s="11" t="n">
        <f aca="false">Actual!N30</f>
        <v>2160</v>
      </c>
      <c r="D15" s="22" t="n">
        <f aca="false">B15-C15</f>
        <v>0</v>
      </c>
      <c r="E15" s="31" t="n">
        <f aca="false">D15/B15</f>
        <v>0</v>
      </c>
      <c r="F15" s="31" t="n">
        <f aca="false">B15/Budget!N20</f>
        <v>0.0459868000851607</v>
      </c>
      <c r="G15" s="31" t="n">
        <f aca="false">C15/Actual!N20</f>
        <v>0.0445709709761266</v>
      </c>
      <c r="H15" s="36" t="str">
        <f aca="false">Summary!F20</f>
        <v>On budget</v>
      </c>
    </row>
    <row r="16" customFormat="false" ht="15" hidden="false" customHeight="false" outlineLevel="0" collapsed="false">
      <c r="A16" s="4" t="s">
        <v>50</v>
      </c>
      <c r="B16" s="11" t="n">
        <f aca="false">Budget!N31</f>
        <v>1878.8</v>
      </c>
      <c r="C16" s="11" t="n">
        <f aca="false">Actual!N31</f>
        <v>2319.5</v>
      </c>
      <c r="D16" s="22" t="n">
        <f aca="false">B16-C16</f>
        <v>-440.7</v>
      </c>
      <c r="E16" s="31" t="n">
        <f aca="false">D16/B16</f>
        <v>-0.234564615712157</v>
      </c>
      <c r="F16" s="31" t="n">
        <f aca="false">B16/Budget!N20</f>
        <v>0.04</v>
      </c>
      <c r="G16" s="31" t="n">
        <f aca="false">C16/Actual!N20</f>
        <v>0.0478622070273729</v>
      </c>
      <c r="H16" s="36" t="str">
        <f aca="false">Summary!F21</f>
        <v>Adverse: investigate</v>
      </c>
    </row>
    <row r="17" customFormat="false" ht="15" hidden="false" customHeight="false" outlineLevel="0" collapsed="false">
      <c r="A17" s="4" t="s">
        <v>51</v>
      </c>
      <c r="B17" s="11" t="n">
        <f aca="false">Budget!N32</f>
        <v>720</v>
      </c>
      <c r="C17" s="11" t="n">
        <f aca="false">Actual!N32</f>
        <v>960</v>
      </c>
      <c r="D17" s="22" t="n">
        <f aca="false">B17-C17</f>
        <v>-240</v>
      </c>
      <c r="E17" s="31" t="n">
        <f aca="false">D17/B17</f>
        <v>-0.333333333333333</v>
      </c>
      <c r="F17" s="31" t="n">
        <f aca="false">B17/Budget!N20</f>
        <v>0.0153289333617202</v>
      </c>
      <c r="G17" s="31" t="n">
        <f aca="false">C17/Actual!N20</f>
        <v>0.019809320433834</v>
      </c>
      <c r="H17" s="36" t="str">
        <f aca="false">Summary!F22</f>
        <v>Adverse: investigate</v>
      </c>
    </row>
    <row r="18" customFormat="false" ht="15" hidden="false" customHeight="false" outlineLevel="0" collapsed="false">
      <c r="A18" s="4" t="s">
        <v>52</v>
      </c>
      <c r="B18" s="11" t="n">
        <f aca="false">Budget!N33</f>
        <v>300</v>
      </c>
      <c r="C18" s="11" t="n">
        <f aca="false">Actual!N33</f>
        <v>260.4</v>
      </c>
      <c r="D18" s="22" t="n">
        <f aca="false">B18-C18</f>
        <v>39.6</v>
      </c>
      <c r="E18" s="31" t="n">
        <f aca="false">D18/B18</f>
        <v>0.132</v>
      </c>
      <c r="F18" s="31" t="n">
        <f aca="false">B18/Budget!N20</f>
        <v>0.00638705556738344</v>
      </c>
      <c r="G18" s="31" t="n">
        <f aca="false">C18/Actual!N20</f>
        <v>0.00537327816767748</v>
      </c>
      <c r="H18" s="36" t="str">
        <f aca="false">Summary!F23</f>
        <v>Favourable</v>
      </c>
    </row>
    <row r="19" customFormat="false" ht="15" hidden="false" customHeight="false" outlineLevel="0" collapsed="false">
      <c r="A19" s="4" t="s">
        <v>53</v>
      </c>
      <c r="B19" s="11" t="n">
        <f aca="false">Budget!N34</f>
        <v>840</v>
      </c>
      <c r="C19" s="11" t="n">
        <f aca="false">Actual!N34</f>
        <v>831.2</v>
      </c>
      <c r="D19" s="22" t="n">
        <f aca="false">B19-C19</f>
        <v>8.80000000000007</v>
      </c>
      <c r="E19" s="31" t="n">
        <f aca="false">D19/B19</f>
        <v>0.0104761904761906</v>
      </c>
      <c r="F19" s="31" t="n">
        <f aca="false">B19/Budget!N20</f>
        <v>0.0178837555886736</v>
      </c>
      <c r="G19" s="31" t="n">
        <f aca="false">C19/Actual!N20</f>
        <v>0.0171515699422946</v>
      </c>
      <c r="H19" s="36" t="str">
        <f aca="false">Summary!F24</f>
        <v>Favourable</v>
      </c>
    </row>
    <row r="20" customFormat="false" ht="15" hidden="false" customHeight="false" outlineLevel="0" collapsed="false">
      <c r="A20" s="14" t="s">
        <v>54</v>
      </c>
      <c r="B20" s="15" t="n">
        <f aca="false">Budget!N35</f>
        <v>14944.8</v>
      </c>
      <c r="C20" s="15" t="n">
        <f aca="false">Actual!N35</f>
        <v>15536.4</v>
      </c>
      <c r="D20" s="37" t="n">
        <f aca="false">B20-C20</f>
        <v>-591.600000000002</v>
      </c>
      <c r="E20" s="38" t="n">
        <f aca="false">D20/B20</f>
        <v>-0.0395856752850491</v>
      </c>
      <c r="F20" s="38" t="n">
        <f aca="false">B20/Budget!N20</f>
        <v>0.318177560144773</v>
      </c>
      <c r="G20" s="38" t="n">
        <f aca="false">C20/Actual!N20</f>
        <v>0.320589089571061</v>
      </c>
      <c r="H20" s="39" t="str">
        <f aca="false">Summary!F25</f>
        <v>Unfavourable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6" t="s">
        <v>129</v>
      </c>
    </row>
    <row r="2" customFormat="false" ht="15" hidden="false" customHeight="false" outlineLevel="0" collapsed="false">
      <c r="A2" s="2" t="s">
        <v>130</v>
      </c>
    </row>
    <row r="4" customFormat="false" ht="15" hidden="false" customHeight="false" outlineLevel="0" collapsed="false">
      <c r="A4" s="9" t="s">
        <v>31</v>
      </c>
      <c r="B4" s="10" t="s">
        <v>131</v>
      </c>
      <c r="C4" s="10" t="s">
        <v>132</v>
      </c>
      <c r="D4" s="10" t="s">
        <v>133</v>
      </c>
      <c r="E4" s="10" t="s">
        <v>134</v>
      </c>
      <c r="F4" s="10" t="s">
        <v>135</v>
      </c>
      <c r="G4" s="10" t="s">
        <v>136</v>
      </c>
      <c r="H4" s="10" t="s">
        <v>137</v>
      </c>
      <c r="I4" s="10" t="s">
        <v>138</v>
      </c>
      <c r="J4" s="10" t="s">
        <v>139</v>
      </c>
      <c r="K4" s="10" t="s">
        <v>140</v>
      </c>
      <c r="L4" s="10" t="s">
        <v>141</v>
      </c>
      <c r="M4" s="10" t="s">
        <v>142</v>
      </c>
      <c r="N4" s="10" t="s">
        <v>143</v>
      </c>
    </row>
    <row r="5" customFormat="false" ht="15" hidden="false" customHeight="false" outlineLevel="0" collapsed="false">
      <c r="A5" s="4" t="s">
        <v>103</v>
      </c>
      <c r="B5" s="11" t="n">
        <f aca="false">Budget!B20</f>
        <v>3272.5</v>
      </c>
      <c r="C5" s="11" t="n">
        <f aca="false">Budget!C20</f>
        <v>3272.5</v>
      </c>
      <c r="D5" s="11" t="n">
        <f aca="false">Budget!D20</f>
        <v>3657.5</v>
      </c>
      <c r="E5" s="11" t="n">
        <f aca="false">Budget!E20</f>
        <v>3850</v>
      </c>
      <c r="F5" s="11" t="n">
        <f aca="false">Budget!F20</f>
        <v>4042.5</v>
      </c>
      <c r="G5" s="11" t="n">
        <f aca="false">Budget!G20</f>
        <v>4042.5</v>
      </c>
      <c r="H5" s="11" t="n">
        <f aca="false">Budget!H20</f>
        <v>3850</v>
      </c>
      <c r="I5" s="11" t="n">
        <f aca="false">Budget!I20</f>
        <v>3850</v>
      </c>
      <c r="J5" s="11" t="n">
        <f aca="false">Budget!J20</f>
        <v>3657.5</v>
      </c>
      <c r="K5" s="11" t="n">
        <f aca="false">Budget!K20</f>
        <v>3850</v>
      </c>
      <c r="L5" s="11" t="n">
        <f aca="false">Budget!L20</f>
        <v>4427.5</v>
      </c>
      <c r="M5" s="11" t="n">
        <f aca="false">Budget!M20</f>
        <v>5197.5</v>
      </c>
      <c r="N5" s="11" t="n">
        <f aca="false">Budget!N20</f>
        <v>46970</v>
      </c>
    </row>
    <row r="6" customFormat="false" ht="15" hidden="false" customHeight="false" outlineLevel="0" collapsed="false">
      <c r="A6" s="4" t="s">
        <v>104</v>
      </c>
      <c r="B6" s="11" t="n">
        <f aca="false">Actual!B20</f>
        <v>3233.08</v>
      </c>
      <c r="C6" s="11" t="n">
        <f aca="false">Actual!C20</f>
        <v>3221.96</v>
      </c>
      <c r="D6" s="11" t="n">
        <f aca="false">Actual!D20</f>
        <v>3888.48</v>
      </c>
      <c r="E6" s="11" t="n">
        <f aca="false">Actual!E20</f>
        <v>4122.7</v>
      </c>
      <c r="F6" s="11" t="n">
        <f aca="false">Actual!F20</f>
        <v>4295.7</v>
      </c>
      <c r="G6" s="11" t="n">
        <f aca="false">Actual!G20</f>
        <v>4295.15</v>
      </c>
      <c r="H6" s="11" t="n">
        <f aca="false">Actual!H20</f>
        <v>4016.67</v>
      </c>
      <c r="I6" s="11" t="n">
        <f aca="false">Actual!I20</f>
        <v>3945.17</v>
      </c>
      <c r="J6" s="11" t="n">
        <f aca="false">Actual!J20</f>
        <v>3763.06</v>
      </c>
      <c r="K6" s="11" t="n">
        <f aca="false">Actual!K20</f>
        <v>3873.674</v>
      </c>
      <c r="L6" s="11" t="n">
        <f aca="false">Actual!L20</f>
        <v>4522.686</v>
      </c>
      <c r="M6" s="11" t="n">
        <f aca="false">Actual!M20</f>
        <v>5283.706</v>
      </c>
      <c r="N6" s="11" t="n">
        <f aca="false">Actual!N20</f>
        <v>48462.036</v>
      </c>
    </row>
    <row r="7" customFormat="false" ht="15" hidden="false" customHeight="false" outlineLevel="0" collapsed="false">
      <c r="A7" s="3" t="s">
        <v>144</v>
      </c>
      <c r="B7" s="40" t="n">
        <f aca="false">B6-B5</f>
        <v>-39.4200000000001</v>
      </c>
      <c r="C7" s="40" t="n">
        <f aca="false">C6-C5</f>
        <v>-50.54</v>
      </c>
      <c r="D7" s="40" t="n">
        <f aca="false">D6-D5</f>
        <v>230.98</v>
      </c>
      <c r="E7" s="40" t="n">
        <f aca="false">E6-E5</f>
        <v>272.7</v>
      </c>
      <c r="F7" s="40" t="n">
        <f aca="false">F6-F5</f>
        <v>253.2</v>
      </c>
      <c r="G7" s="40" t="n">
        <f aca="false">G6-G5</f>
        <v>252.650000000001</v>
      </c>
      <c r="H7" s="40" t="n">
        <f aca="false">H6-H5</f>
        <v>166.67</v>
      </c>
      <c r="I7" s="40" t="n">
        <f aca="false">I6-I5</f>
        <v>95.1700000000001</v>
      </c>
      <c r="J7" s="40" t="n">
        <f aca="false">J6-J5</f>
        <v>105.56</v>
      </c>
      <c r="K7" s="40" t="n">
        <f aca="false">K6-K5</f>
        <v>23.674</v>
      </c>
      <c r="L7" s="40" t="n">
        <f aca="false">L6-L5</f>
        <v>95.1859999999997</v>
      </c>
      <c r="M7" s="40" t="n">
        <f aca="false">M6-M5</f>
        <v>86.2060000000001</v>
      </c>
      <c r="N7" s="40" t="n">
        <f aca="false">N6-N5</f>
        <v>1492.036</v>
      </c>
    </row>
    <row r="8" customFormat="false" ht="15" hidden="false" customHeight="false" outlineLevel="0" collapsed="false">
      <c r="A8" s="3" t="s">
        <v>145</v>
      </c>
      <c r="B8" s="41" t="n">
        <f aca="false">B7/B5</f>
        <v>-0.0120458365164248</v>
      </c>
      <c r="C8" s="41" t="n">
        <f aca="false">C7/C5</f>
        <v>-0.0154438502673797</v>
      </c>
      <c r="D8" s="41" t="n">
        <f aca="false">D7/D5</f>
        <v>0.0631524265208476</v>
      </c>
      <c r="E8" s="41" t="n">
        <f aca="false">E7/E5</f>
        <v>0.0708311688311688</v>
      </c>
      <c r="F8" s="41" t="n">
        <f aca="false">F7/F5</f>
        <v>0.062634508348794</v>
      </c>
      <c r="G8" s="41" t="n">
        <f aca="false">G7/G5</f>
        <v>0.0624984539270255</v>
      </c>
      <c r="H8" s="41" t="n">
        <f aca="false">H7/H5</f>
        <v>0.043290909090909</v>
      </c>
      <c r="I8" s="41" t="n">
        <f aca="false">I7/I5</f>
        <v>0.0247194805194805</v>
      </c>
      <c r="J8" s="41" t="n">
        <f aca="false">J7/J5</f>
        <v>0.0288612440191387</v>
      </c>
      <c r="K8" s="41" t="n">
        <f aca="false">K7/K5</f>
        <v>0.0061490909090909</v>
      </c>
      <c r="L8" s="41" t="n">
        <f aca="false">L7/L5</f>
        <v>0.0214988142292489</v>
      </c>
      <c r="M8" s="41" t="n">
        <f aca="false">M7/M5</f>
        <v>0.016586050986051</v>
      </c>
      <c r="N8" s="41" t="n">
        <f aca="false">N7/N5</f>
        <v>0.0317657228017884</v>
      </c>
    </row>
    <row r="10" customFormat="false" ht="15" hidden="false" customHeight="false" outlineLevel="0" collapsed="false">
      <c r="A10" s="4" t="s">
        <v>146</v>
      </c>
      <c r="B10" s="11" t="n">
        <f aca="false">Budget!B35</f>
        <v>1181.4</v>
      </c>
      <c r="C10" s="11" t="n">
        <f aca="false">Budget!C35</f>
        <v>1181.4</v>
      </c>
      <c r="D10" s="11" t="n">
        <f aca="false">Budget!D35</f>
        <v>1219.8</v>
      </c>
      <c r="E10" s="11" t="n">
        <f aca="false">Budget!E35</f>
        <v>1239</v>
      </c>
      <c r="F10" s="11" t="n">
        <f aca="false">Budget!F35</f>
        <v>1258.2</v>
      </c>
      <c r="G10" s="11" t="n">
        <f aca="false">Budget!G35</f>
        <v>1258.2</v>
      </c>
      <c r="H10" s="11" t="n">
        <f aca="false">Budget!H35</f>
        <v>1239</v>
      </c>
      <c r="I10" s="11" t="n">
        <f aca="false">Budget!I35</f>
        <v>1239</v>
      </c>
      <c r="J10" s="11" t="n">
        <f aca="false">Budget!J35</f>
        <v>1219.8</v>
      </c>
      <c r="K10" s="11" t="n">
        <f aca="false">Budget!K35</f>
        <v>1239</v>
      </c>
      <c r="L10" s="11" t="n">
        <f aca="false">Budget!L35</f>
        <v>1296.6</v>
      </c>
      <c r="M10" s="11" t="n">
        <f aca="false">Budget!M35</f>
        <v>1373.4</v>
      </c>
      <c r="N10" s="11" t="n">
        <f aca="false">Budget!N35</f>
        <v>14944.8</v>
      </c>
    </row>
    <row r="11" customFormat="false" ht="15" hidden="false" customHeight="false" outlineLevel="0" collapsed="false">
      <c r="A11" s="4" t="s">
        <v>147</v>
      </c>
      <c r="B11" s="11" t="n">
        <f aca="false">Actual!B35</f>
        <v>1120.9</v>
      </c>
      <c r="C11" s="11" t="n">
        <f aca="false">Actual!C35</f>
        <v>1121</v>
      </c>
      <c r="D11" s="11" t="n">
        <f aca="false">Actual!D35</f>
        <v>1263.1</v>
      </c>
      <c r="E11" s="11" t="n">
        <f aca="false">Actual!E35</f>
        <v>1287.4</v>
      </c>
      <c r="F11" s="11" t="n">
        <f aca="false">Actual!F35</f>
        <v>1309</v>
      </c>
      <c r="G11" s="11" t="n">
        <f aca="false">Actual!G35</f>
        <v>1217</v>
      </c>
      <c r="H11" s="11" t="n">
        <f aca="false">Actual!H35</f>
        <v>1298.7</v>
      </c>
      <c r="I11" s="11" t="n">
        <f aca="false">Actual!I35</f>
        <v>1296.9</v>
      </c>
      <c r="J11" s="11" t="n">
        <f aca="false">Actual!J35</f>
        <v>1517.9</v>
      </c>
      <c r="K11" s="11" t="n">
        <f aca="false">Actual!K35</f>
        <v>1281.9</v>
      </c>
      <c r="L11" s="11" t="n">
        <f aca="false">Actual!L35</f>
        <v>1366.9</v>
      </c>
      <c r="M11" s="11" t="n">
        <f aca="false">Actual!M35</f>
        <v>1455.7</v>
      </c>
      <c r="N11" s="11" t="n">
        <f aca="false">Actual!N35</f>
        <v>15536.4</v>
      </c>
    </row>
    <row r="12" customFormat="false" ht="15" hidden="false" customHeight="false" outlineLevel="0" collapsed="false">
      <c r="A12" s="3" t="s">
        <v>148</v>
      </c>
      <c r="B12" s="40" t="n">
        <f aca="false">B10-B11</f>
        <v>60.5</v>
      </c>
      <c r="C12" s="40" t="n">
        <f aca="false">C10-C11</f>
        <v>60.4000000000001</v>
      </c>
      <c r="D12" s="40" t="n">
        <f aca="false">D10-D11</f>
        <v>-43.3</v>
      </c>
      <c r="E12" s="40" t="n">
        <f aca="false">E10-E11</f>
        <v>-48.4000000000001</v>
      </c>
      <c r="F12" s="40" t="n">
        <f aca="false">F10-F11</f>
        <v>-50.8</v>
      </c>
      <c r="G12" s="40" t="n">
        <f aca="false">G10-G11</f>
        <v>41.2</v>
      </c>
      <c r="H12" s="40" t="n">
        <f aca="false">H10-H11</f>
        <v>-59.7</v>
      </c>
      <c r="I12" s="40" t="n">
        <f aca="false">I10-I11</f>
        <v>-57.9000000000001</v>
      </c>
      <c r="J12" s="40" t="n">
        <f aca="false">J10-J11</f>
        <v>-298.1</v>
      </c>
      <c r="K12" s="40" t="n">
        <f aca="false">K10-K11</f>
        <v>-42.9000000000001</v>
      </c>
      <c r="L12" s="40" t="n">
        <f aca="false">L10-L11</f>
        <v>-70.3000000000002</v>
      </c>
      <c r="M12" s="40" t="n">
        <f aca="false">M10-M11</f>
        <v>-82.3</v>
      </c>
      <c r="N12" s="40" t="n">
        <f aca="false">N10-N11</f>
        <v>-591.600000000002</v>
      </c>
    </row>
    <row r="14" customFormat="false" ht="15" hidden="false" customHeight="false" outlineLevel="0" collapsed="false">
      <c r="A14" s="4" t="s">
        <v>64</v>
      </c>
      <c r="B14" s="11" t="n">
        <f aca="false">Budget!B36</f>
        <v>701.35</v>
      </c>
      <c r="C14" s="11" t="n">
        <f aca="false">Budget!C36</f>
        <v>701.35</v>
      </c>
      <c r="D14" s="11" t="n">
        <f aca="false">Budget!D36</f>
        <v>884.45</v>
      </c>
      <c r="E14" s="11" t="n">
        <f aca="false">Budget!E36</f>
        <v>976</v>
      </c>
      <c r="F14" s="11" t="n">
        <f aca="false">Budget!F36</f>
        <v>1067.55</v>
      </c>
      <c r="G14" s="11" t="n">
        <f aca="false">Budget!G36</f>
        <v>1067.55</v>
      </c>
      <c r="H14" s="11" t="n">
        <f aca="false">Budget!H36</f>
        <v>976</v>
      </c>
      <c r="I14" s="11" t="n">
        <f aca="false">Budget!I36</f>
        <v>976</v>
      </c>
      <c r="J14" s="11" t="n">
        <f aca="false">Budget!J36</f>
        <v>884.45</v>
      </c>
      <c r="K14" s="11" t="n">
        <f aca="false">Budget!K36</f>
        <v>976</v>
      </c>
      <c r="L14" s="11" t="n">
        <f aca="false">Budget!L36</f>
        <v>1250.65</v>
      </c>
      <c r="M14" s="11" t="n">
        <f aca="false">Budget!M36</f>
        <v>1616.85</v>
      </c>
      <c r="N14" s="11" t="n">
        <f aca="false">Budget!N36</f>
        <v>12078.2</v>
      </c>
    </row>
    <row r="15" customFormat="false" ht="15" hidden="false" customHeight="false" outlineLevel="0" collapsed="false">
      <c r="A15" s="4" t="s">
        <v>68</v>
      </c>
      <c r="B15" s="11" t="n">
        <f aca="false">Actual!B36</f>
        <v>738.69</v>
      </c>
      <c r="C15" s="11" t="n">
        <f aca="false">Actual!C36</f>
        <v>731.8</v>
      </c>
      <c r="D15" s="11" t="n">
        <f aca="false">Actual!D36</f>
        <v>972.63</v>
      </c>
      <c r="E15" s="11" t="n">
        <f aca="false">Actual!E36</f>
        <v>1082.67</v>
      </c>
      <c r="F15" s="11" t="n">
        <f aca="false">Actual!F36</f>
        <v>1160.3</v>
      </c>
      <c r="G15" s="11" t="n">
        <f aca="false">Actual!G36</f>
        <v>1199.0396</v>
      </c>
      <c r="H15" s="11" t="n">
        <f aca="false">Actual!H36</f>
        <v>961.782</v>
      </c>
      <c r="I15" s="11" t="n">
        <f aca="false">Actual!I36</f>
        <v>920.8636</v>
      </c>
      <c r="J15" s="11" t="n">
        <f aca="false">Actual!J36</f>
        <v>598.4188</v>
      </c>
      <c r="K15" s="11" t="n">
        <f aca="false">Actual!K36</f>
        <v>862.4552</v>
      </c>
      <c r="L15" s="11" t="n">
        <f aca="false">Actual!L36</f>
        <v>1136.098</v>
      </c>
      <c r="M15" s="11" t="n">
        <f aca="false">Actual!M36</f>
        <v>1468.244</v>
      </c>
      <c r="N15" s="11" t="n">
        <f aca="false">Actual!N36</f>
        <v>11832.9912</v>
      </c>
    </row>
    <row r="16" customFormat="false" ht="15" hidden="false" customHeight="false" outlineLevel="0" collapsed="false">
      <c r="A16" s="3" t="s">
        <v>149</v>
      </c>
      <c r="B16" s="40" t="n">
        <f aca="false">B15-B14</f>
        <v>37.3399999999999</v>
      </c>
      <c r="C16" s="40" t="n">
        <f aca="false">C15-C14</f>
        <v>30.4500000000003</v>
      </c>
      <c r="D16" s="40" t="n">
        <f aca="false">D15-D14</f>
        <v>88.1800000000001</v>
      </c>
      <c r="E16" s="40" t="n">
        <f aca="false">E15-E14</f>
        <v>106.67</v>
      </c>
      <c r="F16" s="40" t="n">
        <f aca="false">F15-F14</f>
        <v>92.7500000000002</v>
      </c>
      <c r="G16" s="40" t="n">
        <f aca="false">G15-G14</f>
        <v>131.489600000001</v>
      </c>
      <c r="H16" s="40" t="n">
        <f aca="false">H15-H14</f>
        <v>-14.2180000000005</v>
      </c>
      <c r="I16" s="40" t="n">
        <f aca="false">I15-I14</f>
        <v>-55.1363999999999</v>
      </c>
      <c r="J16" s="40" t="n">
        <f aca="false">J15-J14</f>
        <v>-286.0312</v>
      </c>
      <c r="K16" s="40" t="n">
        <f aca="false">K15-K14</f>
        <v>-113.5448</v>
      </c>
      <c r="L16" s="40" t="n">
        <f aca="false">L15-L14</f>
        <v>-114.552000000001</v>
      </c>
      <c r="M16" s="40" t="n">
        <f aca="false">M15-M14</f>
        <v>-148.606</v>
      </c>
      <c r="N16" s="40" t="n">
        <f aca="false">N15-N14</f>
        <v>-245.208800000004</v>
      </c>
    </row>
    <row r="17" customFormat="false" ht="15" hidden="false" customHeight="false" outlineLevel="0" collapsed="false">
      <c r="A17" s="3" t="s">
        <v>150</v>
      </c>
      <c r="B17" s="40" t="n">
        <f aca="false">B16</f>
        <v>37.3399999999999</v>
      </c>
      <c r="C17" s="40" t="n">
        <f aca="false">B17+C16</f>
        <v>67.7900000000002</v>
      </c>
      <c r="D17" s="40" t="n">
        <f aca="false">C17+D16</f>
        <v>155.97</v>
      </c>
      <c r="E17" s="40" t="n">
        <f aca="false">D17+E16</f>
        <v>262.64</v>
      </c>
      <c r="F17" s="40" t="n">
        <f aca="false">E17+F16</f>
        <v>355.39</v>
      </c>
      <c r="G17" s="40" t="n">
        <f aca="false">F17+G16</f>
        <v>486.879600000001</v>
      </c>
      <c r="H17" s="40" t="n">
        <f aca="false">G17+H16</f>
        <v>472.6616</v>
      </c>
      <c r="I17" s="40" t="n">
        <f aca="false">H17+I16</f>
        <v>417.5252</v>
      </c>
      <c r="J17" s="40" t="n">
        <f aca="false">I17+J16</f>
        <v>131.494</v>
      </c>
      <c r="K17" s="40" t="n">
        <f aca="false">J17+K16</f>
        <v>17.9492</v>
      </c>
      <c r="L17" s="40" t="n">
        <f aca="false">K17+L16</f>
        <v>-96.6028000000006</v>
      </c>
      <c r="M17" s="40" t="n">
        <f aca="false">L17+M16</f>
        <v>-245.208800000001</v>
      </c>
      <c r="N17" s="40" t="n">
        <f aca="false">M17</f>
        <v>-245.208800000001</v>
      </c>
    </row>
    <row r="18" customFormat="false" ht="15" hidden="false" customHeight="false" outlineLevel="0" collapsed="false">
      <c r="A18" s="4" t="s">
        <v>151</v>
      </c>
      <c r="B18" s="18" t="n">
        <f aca="false">Budget!B26</f>
        <v>0.575324675324675</v>
      </c>
      <c r="C18" s="18" t="n">
        <f aca="false">Budget!C26</f>
        <v>0.575324675324675</v>
      </c>
      <c r="D18" s="18" t="n">
        <f aca="false">Budget!D26</f>
        <v>0.575324675324675</v>
      </c>
      <c r="E18" s="18" t="n">
        <f aca="false">Budget!E26</f>
        <v>0.575324675324675</v>
      </c>
      <c r="F18" s="18" t="n">
        <f aca="false">Budget!F26</f>
        <v>0.575324675324675</v>
      </c>
      <c r="G18" s="18" t="n">
        <f aca="false">Budget!G26</f>
        <v>0.575324675324675</v>
      </c>
      <c r="H18" s="18" t="n">
        <f aca="false">Budget!H26</f>
        <v>0.575324675324675</v>
      </c>
      <c r="I18" s="18" t="n">
        <f aca="false">Budget!I26</f>
        <v>0.575324675324675</v>
      </c>
      <c r="J18" s="18" t="n">
        <f aca="false">Budget!J26</f>
        <v>0.575324675324675</v>
      </c>
      <c r="K18" s="18" t="n">
        <f aca="false">Budget!K26</f>
        <v>0.575324675324675</v>
      </c>
      <c r="L18" s="18" t="n">
        <f aca="false">Budget!L26</f>
        <v>0.575324675324675</v>
      </c>
      <c r="M18" s="18" t="n">
        <f aca="false">Budget!M26</f>
        <v>0.575324675324675</v>
      </c>
      <c r="N18" s="18" t="n">
        <f aca="false">Budget!N26</f>
        <v>0.575324675324675</v>
      </c>
    </row>
    <row r="19" customFormat="false" ht="15" hidden="false" customHeight="false" outlineLevel="0" collapsed="false">
      <c r="A19" s="4" t="s">
        <v>152</v>
      </c>
      <c r="B19" s="18" t="n">
        <f aca="false">Actual!B26</f>
        <v>0.575175993170599</v>
      </c>
      <c r="C19" s="18" t="n">
        <f aca="false">Actual!C26</f>
        <v>0.575053694024755</v>
      </c>
      <c r="D19" s="18" t="n">
        <f aca="false">Actual!D26</f>
        <v>0.574962453195079</v>
      </c>
      <c r="E19" s="18" t="n">
        <f aca="false">Actual!E26</f>
        <v>0.574882965047178</v>
      </c>
      <c r="F19" s="18" t="n">
        <f aca="false">Actual!F26</f>
        <v>0.574830644598087</v>
      </c>
      <c r="G19" s="18" t="n">
        <f aca="false">Actual!G26</f>
        <v>0.562504126747611</v>
      </c>
      <c r="H19" s="18" t="n">
        <f aca="false">Actual!H26</f>
        <v>0.562775134626444</v>
      </c>
      <c r="I19" s="18" t="n">
        <f aca="false">Actual!I26</f>
        <v>0.562146523470472</v>
      </c>
      <c r="J19" s="18" t="n">
        <f aca="false">Actual!J26</f>
        <v>0.562393052462624</v>
      </c>
      <c r="K19" s="18" t="n">
        <f aca="false">Actual!K26</f>
        <v>0.553571415663786</v>
      </c>
      <c r="L19" s="18" t="n">
        <f aca="false">Actual!L26</f>
        <v>0.553431743879633</v>
      </c>
      <c r="M19" s="18" t="n">
        <f aca="false">Actual!M26</f>
        <v>0.553388852445613</v>
      </c>
      <c r="N19" s="18" t="n">
        <f aca="false">Actual!N26</f>
        <v>0.564759417041414</v>
      </c>
    </row>
    <row r="21" customFormat="false" ht="15" hidden="false" customHeight="false" outlineLevel="0" collapsed="false">
      <c r="A21" s="2" t="s">
        <v>153</v>
      </c>
      <c r="B21" s="23" t="n">
        <f aca="false">MAX(B16,0)</f>
        <v>37.3399999999999</v>
      </c>
      <c r="C21" s="23" t="n">
        <f aca="false">MAX(C16,0)</f>
        <v>30.4500000000003</v>
      </c>
      <c r="D21" s="23" t="n">
        <f aca="false">MAX(D16,0)</f>
        <v>88.1800000000001</v>
      </c>
      <c r="E21" s="23" t="n">
        <f aca="false">MAX(E16,0)</f>
        <v>106.67</v>
      </c>
      <c r="F21" s="23" t="n">
        <f aca="false">MAX(F16,0)</f>
        <v>92.7500000000002</v>
      </c>
      <c r="G21" s="23" t="n">
        <f aca="false">MAX(G16,0)</f>
        <v>131.489600000001</v>
      </c>
      <c r="H21" s="23" t="n">
        <f aca="false">MAX(H16,0)</f>
        <v>0</v>
      </c>
      <c r="I21" s="23" t="n">
        <f aca="false">MAX(I16,0)</f>
        <v>0</v>
      </c>
      <c r="J21" s="23" t="n">
        <f aca="false">MAX(J16,0)</f>
        <v>0</v>
      </c>
      <c r="K21" s="23" t="n">
        <f aca="false">MAX(K16,0)</f>
        <v>0</v>
      </c>
      <c r="L21" s="23" t="n">
        <f aca="false">MAX(L16,0)</f>
        <v>0</v>
      </c>
      <c r="M21" s="23" t="n">
        <f aca="false">MAX(M16,0)</f>
        <v>0</v>
      </c>
    </row>
    <row r="22" customFormat="false" ht="15" hidden="false" customHeight="false" outlineLevel="0" collapsed="false">
      <c r="A22" s="2" t="s">
        <v>154</v>
      </c>
      <c r="B22" s="23" t="n">
        <f aca="false">MIN(B16,0)</f>
        <v>0</v>
      </c>
      <c r="C22" s="23" t="n">
        <f aca="false">MIN(C16,0)</f>
        <v>0</v>
      </c>
      <c r="D22" s="23" t="n">
        <f aca="false">MIN(D16,0)</f>
        <v>0</v>
      </c>
      <c r="E22" s="23" t="n">
        <f aca="false">MIN(E16,0)</f>
        <v>0</v>
      </c>
      <c r="F22" s="23" t="n">
        <f aca="false">MIN(F16,0)</f>
        <v>0</v>
      </c>
      <c r="G22" s="23" t="n">
        <f aca="false">MIN(G16,0)</f>
        <v>0</v>
      </c>
      <c r="H22" s="23" t="n">
        <f aca="false">MIN(H16,0)</f>
        <v>-14.2180000000005</v>
      </c>
      <c r="I22" s="23" t="n">
        <f aca="false">MIN(I16,0)</f>
        <v>-55.1363999999999</v>
      </c>
      <c r="J22" s="23" t="n">
        <f aca="false">MIN(J16,0)</f>
        <v>-286.0312</v>
      </c>
      <c r="K22" s="23" t="n">
        <f aca="false">MIN(K16,0)</f>
        <v>-113.5448</v>
      </c>
      <c r="L22" s="23" t="n">
        <f aca="false">MIN(L16,0)</f>
        <v>-114.552000000001</v>
      </c>
      <c r="M22" s="23" t="n">
        <f aca="false">MIN(M16,0)</f>
        <v>-148.606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6" t="s">
        <v>155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9" t="s">
        <v>31</v>
      </c>
      <c r="B4" s="10" t="s">
        <v>131</v>
      </c>
      <c r="C4" s="10" t="s">
        <v>132</v>
      </c>
      <c r="D4" s="10" t="s">
        <v>133</v>
      </c>
      <c r="E4" s="10" t="s">
        <v>134</v>
      </c>
      <c r="F4" s="10" t="s">
        <v>135</v>
      </c>
      <c r="G4" s="10" t="s">
        <v>136</v>
      </c>
      <c r="H4" s="10" t="s">
        <v>137</v>
      </c>
      <c r="I4" s="10" t="s">
        <v>138</v>
      </c>
      <c r="J4" s="10" t="s">
        <v>139</v>
      </c>
      <c r="K4" s="10" t="s">
        <v>140</v>
      </c>
      <c r="L4" s="10" t="s">
        <v>141</v>
      </c>
      <c r="M4" s="10" t="s">
        <v>142</v>
      </c>
      <c r="N4" s="10" t="s">
        <v>143</v>
      </c>
    </row>
    <row r="5" customFormat="false" ht="15" hidden="false" customHeight="false" outlineLevel="0" collapsed="false">
      <c r="A5" s="20" t="s">
        <v>157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customFormat="false" ht="15" hidden="false" customHeight="false" outlineLevel="0" collapsed="false">
      <c r="A6" s="4" t="s">
        <v>158</v>
      </c>
      <c r="B6" s="42" t="n">
        <v>17</v>
      </c>
      <c r="C6" s="42" t="n">
        <v>17</v>
      </c>
      <c r="D6" s="42" t="n">
        <v>19</v>
      </c>
      <c r="E6" s="42" t="n">
        <v>20</v>
      </c>
      <c r="F6" s="42" t="n">
        <v>21</v>
      </c>
      <c r="G6" s="42" t="n">
        <v>21</v>
      </c>
      <c r="H6" s="42" t="n">
        <v>20</v>
      </c>
      <c r="I6" s="42" t="n">
        <v>20</v>
      </c>
      <c r="J6" s="42" t="n">
        <v>19</v>
      </c>
      <c r="K6" s="42" t="n">
        <v>20</v>
      </c>
      <c r="L6" s="42" t="n">
        <v>23</v>
      </c>
      <c r="M6" s="42" t="n">
        <v>27</v>
      </c>
      <c r="N6" s="43" t="n">
        <f aca="false">SUM(B6:M6)</f>
        <v>244</v>
      </c>
    </row>
    <row r="7" customFormat="false" ht="15" hidden="false" customHeight="false" outlineLevel="0" collapsed="false">
      <c r="A7" s="4" t="s">
        <v>159</v>
      </c>
      <c r="B7" s="44" t="n">
        <v>95</v>
      </c>
      <c r="C7" s="44" t="n">
        <v>95</v>
      </c>
      <c r="D7" s="44" t="n">
        <v>95</v>
      </c>
      <c r="E7" s="44" t="n">
        <v>95</v>
      </c>
      <c r="F7" s="44" t="n">
        <v>95</v>
      </c>
      <c r="G7" s="44" t="n">
        <v>95</v>
      </c>
      <c r="H7" s="44" t="n">
        <v>95</v>
      </c>
      <c r="I7" s="44" t="n">
        <v>95</v>
      </c>
      <c r="J7" s="44" t="n">
        <v>95</v>
      </c>
      <c r="K7" s="44" t="n">
        <v>95</v>
      </c>
      <c r="L7" s="44" t="n">
        <v>95</v>
      </c>
      <c r="M7" s="44" t="n">
        <v>95</v>
      </c>
      <c r="N7" s="45" t="n">
        <f aca="false">N17/N6</f>
        <v>95</v>
      </c>
    </row>
    <row r="8" customFormat="false" ht="15" hidden="false" customHeight="false" outlineLevel="0" collapsed="false">
      <c r="A8" s="4" t="s">
        <v>160</v>
      </c>
      <c r="B8" s="44" t="n">
        <v>42</v>
      </c>
      <c r="C8" s="44" t="n">
        <v>42</v>
      </c>
      <c r="D8" s="44" t="n">
        <v>42</v>
      </c>
      <c r="E8" s="44" t="n">
        <v>42</v>
      </c>
      <c r="F8" s="44" t="n">
        <v>42</v>
      </c>
      <c r="G8" s="44" t="n">
        <v>42</v>
      </c>
      <c r="H8" s="44" t="n">
        <v>42</v>
      </c>
      <c r="I8" s="44" t="n">
        <v>42</v>
      </c>
      <c r="J8" s="44" t="n">
        <v>42</v>
      </c>
      <c r="K8" s="44" t="n">
        <v>42</v>
      </c>
      <c r="L8" s="44" t="n">
        <v>42</v>
      </c>
      <c r="M8" s="44" t="n">
        <v>42</v>
      </c>
      <c r="N8" s="45" t="n">
        <f aca="false">N21/N6</f>
        <v>42</v>
      </c>
    </row>
    <row r="9" customFormat="false" ht="15" hidden="false" customHeight="false" outlineLevel="0" collapsed="false">
      <c r="A9" s="4" t="s">
        <v>161</v>
      </c>
      <c r="B9" s="42" t="n">
        <v>29.75</v>
      </c>
      <c r="C9" s="42" t="n">
        <v>29.75</v>
      </c>
      <c r="D9" s="42" t="n">
        <v>33.25</v>
      </c>
      <c r="E9" s="42" t="n">
        <v>35</v>
      </c>
      <c r="F9" s="42" t="n">
        <v>36.75</v>
      </c>
      <c r="G9" s="42" t="n">
        <v>36.75</v>
      </c>
      <c r="H9" s="42" t="n">
        <v>35</v>
      </c>
      <c r="I9" s="42" t="n">
        <v>35</v>
      </c>
      <c r="J9" s="42" t="n">
        <v>33.25</v>
      </c>
      <c r="K9" s="42" t="n">
        <v>35</v>
      </c>
      <c r="L9" s="42" t="n">
        <v>40.25</v>
      </c>
      <c r="M9" s="42" t="n">
        <v>47.25</v>
      </c>
      <c r="N9" s="43" t="n">
        <f aca="false">SUM(B9:M9)</f>
        <v>427</v>
      </c>
    </row>
    <row r="10" customFormat="false" ht="15" hidden="false" customHeight="false" outlineLevel="0" collapsed="false">
      <c r="A10" s="4" t="s">
        <v>162</v>
      </c>
      <c r="B10" s="44" t="n">
        <v>40</v>
      </c>
      <c r="C10" s="44" t="n">
        <v>40</v>
      </c>
      <c r="D10" s="44" t="n">
        <v>40</v>
      </c>
      <c r="E10" s="44" t="n">
        <v>40</v>
      </c>
      <c r="F10" s="44" t="n">
        <v>40</v>
      </c>
      <c r="G10" s="44" t="n">
        <v>40</v>
      </c>
      <c r="H10" s="44" t="n">
        <v>40</v>
      </c>
      <c r="I10" s="44" t="n">
        <v>40</v>
      </c>
      <c r="J10" s="44" t="n">
        <v>40</v>
      </c>
      <c r="K10" s="44" t="n">
        <v>40</v>
      </c>
      <c r="L10" s="44" t="n">
        <v>40</v>
      </c>
      <c r="M10" s="44" t="n">
        <v>40</v>
      </c>
      <c r="N10" s="45" t="n">
        <f aca="false">N18/N9</f>
        <v>40</v>
      </c>
    </row>
    <row r="11" customFormat="false" ht="15" hidden="false" customHeight="false" outlineLevel="0" collapsed="false">
      <c r="A11" s="4" t="s">
        <v>163</v>
      </c>
      <c r="B11" s="44" t="n">
        <v>17</v>
      </c>
      <c r="C11" s="44" t="n">
        <v>17</v>
      </c>
      <c r="D11" s="44" t="n">
        <v>17</v>
      </c>
      <c r="E11" s="44" t="n">
        <v>17</v>
      </c>
      <c r="F11" s="44" t="n">
        <v>17</v>
      </c>
      <c r="G11" s="44" t="n">
        <v>17</v>
      </c>
      <c r="H11" s="44" t="n">
        <v>17</v>
      </c>
      <c r="I11" s="44" t="n">
        <v>17</v>
      </c>
      <c r="J11" s="44" t="n">
        <v>17</v>
      </c>
      <c r="K11" s="44" t="n">
        <v>17</v>
      </c>
      <c r="L11" s="44" t="n">
        <v>17</v>
      </c>
      <c r="M11" s="44" t="n">
        <v>17</v>
      </c>
      <c r="N11" s="45" t="n">
        <f aca="false">N22/N9</f>
        <v>17</v>
      </c>
    </row>
    <row r="12" customFormat="false" ht="15" hidden="false" customHeight="false" outlineLevel="0" collapsed="false">
      <c r="A12" s="4" t="s">
        <v>164</v>
      </c>
      <c r="B12" s="42" t="n">
        <v>21.25</v>
      </c>
      <c r="C12" s="42" t="n">
        <v>21.25</v>
      </c>
      <c r="D12" s="42" t="n">
        <v>23.75</v>
      </c>
      <c r="E12" s="42" t="n">
        <v>25</v>
      </c>
      <c r="F12" s="42" t="n">
        <v>26.25</v>
      </c>
      <c r="G12" s="42" t="n">
        <v>26.25</v>
      </c>
      <c r="H12" s="42" t="n">
        <v>25</v>
      </c>
      <c r="I12" s="42" t="n">
        <v>25</v>
      </c>
      <c r="J12" s="42" t="n">
        <v>23.75</v>
      </c>
      <c r="K12" s="42" t="n">
        <v>25</v>
      </c>
      <c r="L12" s="42" t="n">
        <v>28.75</v>
      </c>
      <c r="M12" s="42" t="n">
        <v>33.75</v>
      </c>
      <c r="N12" s="43" t="n">
        <f aca="false">SUM(B12:M12)</f>
        <v>305</v>
      </c>
    </row>
    <row r="13" customFormat="false" ht="15" hidden="false" customHeight="false" outlineLevel="0" collapsed="false">
      <c r="A13" s="4" t="s">
        <v>165</v>
      </c>
      <c r="B13" s="44" t="n">
        <v>22</v>
      </c>
      <c r="C13" s="44" t="n">
        <v>22</v>
      </c>
      <c r="D13" s="44" t="n">
        <v>22</v>
      </c>
      <c r="E13" s="44" t="n">
        <v>22</v>
      </c>
      <c r="F13" s="44" t="n">
        <v>22</v>
      </c>
      <c r="G13" s="44" t="n">
        <v>22</v>
      </c>
      <c r="H13" s="44" t="n">
        <v>22</v>
      </c>
      <c r="I13" s="44" t="n">
        <v>22</v>
      </c>
      <c r="J13" s="44" t="n">
        <v>22</v>
      </c>
      <c r="K13" s="44" t="n">
        <v>22</v>
      </c>
      <c r="L13" s="44" t="n">
        <v>22</v>
      </c>
      <c r="M13" s="44" t="n">
        <v>22</v>
      </c>
      <c r="N13" s="45" t="n">
        <f aca="false">N19/N12</f>
        <v>22</v>
      </c>
    </row>
    <row r="14" customFormat="false" ht="15" hidden="false" customHeight="false" outlineLevel="0" collapsed="false">
      <c r="A14" s="4" t="s">
        <v>166</v>
      </c>
      <c r="B14" s="44" t="n">
        <v>8</v>
      </c>
      <c r="C14" s="44" t="n">
        <v>8</v>
      </c>
      <c r="D14" s="44" t="n">
        <v>8</v>
      </c>
      <c r="E14" s="44" t="n">
        <v>8</v>
      </c>
      <c r="F14" s="44" t="n">
        <v>8</v>
      </c>
      <c r="G14" s="44" t="n">
        <v>8</v>
      </c>
      <c r="H14" s="44" t="n">
        <v>8</v>
      </c>
      <c r="I14" s="44" t="n">
        <v>8</v>
      </c>
      <c r="J14" s="44" t="n">
        <v>8</v>
      </c>
      <c r="K14" s="44" t="n">
        <v>8</v>
      </c>
      <c r="L14" s="44" t="n">
        <v>8</v>
      </c>
      <c r="M14" s="44" t="n">
        <v>8</v>
      </c>
      <c r="N14" s="45" t="n">
        <f aca="false">N23/N12</f>
        <v>8</v>
      </c>
    </row>
    <row r="16" customFormat="false" ht="15" hidden="false" customHeight="false" outlineLevel="0" collapsed="false">
      <c r="A16" s="20" t="s">
        <v>167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customFormat="false" ht="15" hidden="false" customHeight="false" outlineLevel="0" collapsed="false">
      <c r="A17" s="4" t="s">
        <v>37</v>
      </c>
      <c r="B17" s="12" t="n">
        <f aca="false">B6*B7</f>
        <v>1615</v>
      </c>
      <c r="C17" s="12" t="n">
        <f aca="false">C6*C7</f>
        <v>1615</v>
      </c>
      <c r="D17" s="12" t="n">
        <f aca="false">D6*D7</f>
        <v>1805</v>
      </c>
      <c r="E17" s="12" t="n">
        <f aca="false">E6*E7</f>
        <v>1900</v>
      </c>
      <c r="F17" s="12" t="n">
        <f aca="false">F6*F7</f>
        <v>1995</v>
      </c>
      <c r="G17" s="12" t="n">
        <f aca="false">G6*G7</f>
        <v>1995</v>
      </c>
      <c r="H17" s="12" t="n">
        <f aca="false">H6*H7</f>
        <v>1900</v>
      </c>
      <c r="I17" s="12" t="n">
        <f aca="false">I6*I7</f>
        <v>1900</v>
      </c>
      <c r="J17" s="12" t="n">
        <f aca="false">J6*J7</f>
        <v>1805</v>
      </c>
      <c r="K17" s="12" t="n">
        <f aca="false">K6*K7</f>
        <v>1900</v>
      </c>
      <c r="L17" s="12" t="n">
        <f aca="false">L6*L7</f>
        <v>2185</v>
      </c>
      <c r="M17" s="12" t="n">
        <f aca="false">M6*M7</f>
        <v>2565</v>
      </c>
      <c r="N17" s="40" t="n">
        <f aca="false">SUM(B17:M17)</f>
        <v>23180</v>
      </c>
    </row>
    <row r="18" customFormat="false" ht="15" hidden="false" customHeight="false" outlineLevel="0" collapsed="false">
      <c r="A18" s="4" t="s">
        <v>38</v>
      </c>
      <c r="B18" s="12" t="n">
        <f aca="false">B9*B10</f>
        <v>1190</v>
      </c>
      <c r="C18" s="12" t="n">
        <f aca="false">C9*C10</f>
        <v>1190</v>
      </c>
      <c r="D18" s="12" t="n">
        <f aca="false">D9*D10</f>
        <v>1330</v>
      </c>
      <c r="E18" s="12" t="n">
        <f aca="false">E9*E10</f>
        <v>1400</v>
      </c>
      <c r="F18" s="12" t="n">
        <f aca="false">F9*F10</f>
        <v>1470</v>
      </c>
      <c r="G18" s="12" t="n">
        <f aca="false">G9*G10</f>
        <v>1470</v>
      </c>
      <c r="H18" s="12" t="n">
        <f aca="false">H9*H10</f>
        <v>1400</v>
      </c>
      <c r="I18" s="12" t="n">
        <f aca="false">I9*I10</f>
        <v>1400</v>
      </c>
      <c r="J18" s="12" t="n">
        <f aca="false">J9*J10</f>
        <v>1330</v>
      </c>
      <c r="K18" s="12" t="n">
        <f aca="false">K9*K10</f>
        <v>1400</v>
      </c>
      <c r="L18" s="12" t="n">
        <f aca="false">L9*L10</f>
        <v>1610</v>
      </c>
      <c r="M18" s="12" t="n">
        <f aca="false">M9*M10</f>
        <v>1890</v>
      </c>
      <c r="N18" s="40" t="n">
        <f aca="false">SUM(B18:M18)</f>
        <v>17080</v>
      </c>
    </row>
    <row r="19" customFormat="false" ht="15" hidden="false" customHeight="false" outlineLevel="0" collapsed="false">
      <c r="A19" s="4" t="s">
        <v>39</v>
      </c>
      <c r="B19" s="12" t="n">
        <f aca="false">B12*B13</f>
        <v>467.5</v>
      </c>
      <c r="C19" s="12" t="n">
        <f aca="false">C12*C13</f>
        <v>467.5</v>
      </c>
      <c r="D19" s="12" t="n">
        <f aca="false">D12*D13</f>
        <v>522.5</v>
      </c>
      <c r="E19" s="12" t="n">
        <f aca="false">E12*E13</f>
        <v>550</v>
      </c>
      <c r="F19" s="12" t="n">
        <f aca="false">F12*F13</f>
        <v>577.5</v>
      </c>
      <c r="G19" s="12" t="n">
        <f aca="false">G12*G13</f>
        <v>577.5</v>
      </c>
      <c r="H19" s="12" t="n">
        <f aca="false">H12*H13</f>
        <v>550</v>
      </c>
      <c r="I19" s="12" t="n">
        <f aca="false">I12*I13</f>
        <v>550</v>
      </c>
      <c r="J19" s="12" t="n">
        <f aca="false">J12*J13</f>
        <v>522.5</v>
      </c>
      <c r="K19" s="12" t="n">
        <f aca="false">K12*K13</f>
        <v>550</v>
      </c>
      <c r="L19" s="12" t="n">
        <f aca="false">L12*L13</f>
        <v>632.5</v>
      </c>
      <c r="M19" s="12" t="n">
        <f aca="false">M12*M13</f>
        <v>742.5</v>
      </c>
      <c r="N19" s="40" t="n">
        <f aca="false">SUM(B19:M19)</f>
        <v>6710</v>
      </c>
    </row>
    <row r="20" customFormat="false" ht="15" hidden="false" customHeight="false" outlineLevel="0" collapsed="false">
      <c r="A20" s="3" t="s">
        <v>40</v>
      </c>
      <c r="B20" s="16" t="n">
        <f aca="false">SUM(B17:B19)</f>
        <v>3272.5</v>
      </c>
      <c r="C20" s="16" t="n">
        <f aca="false">SUM(C17:C19)</f>
        <v>3272.5</v>
      </c>
      <c r="D20" s="16" t="n">
        <f aca="false">SUM(D17:D19)</f>
        <v>3657.5</v>
      </c>
      <c r="E20" s="16" t="n">
        <f aca="false">SUM(E17:E19)</f>
        <v>3850</v>
      </c>
      <c r="F20" s="16" t="n">
        <f aca="false">SUM(F17:F19)</f>
        <v>4042.5</v>
      </c>
      <c r="G20" s="16" t="n">
        <f aca="false">SUM(G17:G19)</f>
        <v>4042.5</v>
      </c>
      <c r="H20" s="16" t="n">
        <f aca="false">SUM(H17:H19)</f>
        <v>3850</v>
      </c>
      <c r="I20" s="16" t="n">
        <f aca="false">SUM(I17:I19)</f>
        <v>3850</v>
      </c>
      <c r="J20" s="16" t="n">
        <f aca="false">SUM(J17:J19)</f>
        <v>3657.5</v>
      </c>
      <c r="K20" s="16" t="n">
        <f aca="false">SUM(K17:K19)</f>
        <v>3850</v>
      </c>
      <c r="L20" s="16" t="n">
        <f aca="false">SUM(L17:L19)</f>
        <v>4427.5</v>
      </c>
      <c r="M20" s="16" t="n">
        <f aca="false">SUM(M17:M19)</f>
        <v>5197.5</v>
      </c>
      <c r="N20" s="16" t="n">
        <f aca="false">SUM(N17:N19)</f>
        <v>46970</v>
      </c>
    </row>
    <row r="21" customFormat="false" ht="15" hidden="false" customHeight="false" outlineLevel="0" collapsed="false">
      <c r="A21" s="4" t="s">
        <v>41</v>
      </c>
      <c r="B21" s="12" t="n">
        <f aca="false">B6*B8</f>
        <v>714</v>
      </c>
      <c r="C21" s="12" t="n">
        <f aca="false">C6*C8</f>
        <v>714</v>
      </c>
      <c r="D21" s="12" t="n">
        <f aca="false">D6*D8</f>
        <v>798</v>
      </c>
      <c r="E21" s="12" t="n">
        <f aca="false">E6*E8</f>
        <v>840</v>
      </c>
      <c r="F21" s="12" t="n">
        <f aca="false">F6*F8</f>
        <v>882</v>
      </c>
      <c r="G21" s="12" t="n">
        <f aca="false">G6*G8</f>
        <v>882</v>
      </c>
      <c r="H21" s="12" t="n">
        <f aca="false">H6*H8</f>
        <v>840</v>
      </c>
      <c r="I21" s="12" t="n">
        <f aca="false">I6*I8</f>
        <v>840</v>
      </c>
      <c r="J21" s="12" t="n">
        <f aca="false">J6*J8</f>
        <v>798</v>
      </c>
      <c r="K21" s="12" t="n">
        <f aca="false">K6*K8</f>
        <v>840</v>
      </c>
      <c r="L21" s="12" t="n">
        <f aca="false">L6*L8</f>
        <v>966</v>
      </c>
      <c r="M21" s="12" t="n">
        <f aca="false">M6*M8</f>
        <v>1134</v>
      </c>
      <c r="N21" s="40" t="n">
        <f aca="false">SUM(B21:M21)</f>
        <v>10248</v>
      </c>
    </row>
    <row r="22" customFormat="false" ht="15" hidden="false" customHeight="false" outlineLevel="0" collapsed="false">
      <c r="A22" s="4" t="s">
        <v>42</v>
      </c>
      <c r="B22" s="12" t="n">
        <f aca="false">B9*B11</f>
        <v>505.75</v>
      </c>
      <c r="C22" s="12" t="n">
        <f aca="false">C9*C11</f>
        <v>505.75</v>
      </c>
      <c r="D22" s="12" t="n">
        <f aca="false">D9*D11</f>
        <v>565.25</v>
      </c>
      <c r="E22" s="12" t="n">
        <f aca="false">E9*E11</f>
        <v>595</v>
      </c>
      <c r="F22" s="12" t="n">
        <f aca="false">F9*F11</f>
        <v>624.75</v>
      </c>
      <c r="G22" s="12" t="n">
        <f aca="false">G9*G11</f>
        <v>624.75</v>
      </c>
      <c r="H22" s="12" t="n">
        <f aca="false">H9*H11</f>
        <v>595</v>
      </c>
      <c r="I22" s="12" t="n">
        <f aca="false">I9*I11</f>
        <v>595</v>
      </c>
      <c r="J22" s="12" t="n">
        <f aca="false">J9*J11</f>
        <v>565.25</v>
      </c>
      <c r="K22" s="12" t="n">
        <f aca="false">K9*K11</f>
        <v>595</v>
      </c>
      <c r="L22" s="12" t="n">
        <f aca="false">L9*L11</f>
        <v>684.25</v>
      </c>
      <c r="M22" s="12" t="n">
        <f aca="false">M9*M11</f>
        <v>803.25</v>
      </c>
      <c r="N22" s="40" t="n">
        <f aca="false">SUM(B22:M22)</f>
        <v>7259</v>
      </c>
    </row>
    <row r="23" customFormat="false" ht="15" hidden="false" customHeight="false" outlineLevel="0" collapsed="false">
      <c r="A23" s="4" t="s">
        <v>43</v>
      </c>
      <c r="B23" s="12" t="n">
        <f aca="false">B12*B14</f>
        <v>170</v>
      </c>
      <c r="C23" s="12" t="n">
        <f aca="false">C12*C14</f>
        <v>170</v>
      </c>
      <c r="D23" s="12" t="n">
        <f aca="false">D12*D14</f>
        <v>190</v>
      </c>
      <c r="E23" s="12" t="n">
        <f aca="false">E12*E14</f>
        <v>200</v>
      </c>
      <c r="F23" s="12" t="n">
        <f aca="false">F12*F14</f>
        <v>210</v>
      </c>
      <c r="G23" s="12" t="n">
        <f aca="false">G12*G14</f>
        <v>210</v>
      </c>
      <c r="H23" s="12" t="n">
        <f aca="false">H12*H14</f>
        <v>200</v>
      </c>
      <c r="I23" s="12" t="n">
        <f aca="false">I12*I14</f>
        <v>200</v>
      </c>
      <c r="J23" s="12" t="n">
        <f aca="false">J12*J14</f>
        <v>190</v>
      </c>
      <c r="K23" s="12" t="n">
        <f aca="false">K12*K14</f>
        <v>200</v>
      </c>
      <c r="L23" s="12" t="n">
        <f aca="false">L12*L14</f>
        <v>230</v>
      </c>
      <c r="M23" s="12" t="n">
        <f aca="false">M12*M14</f>
        <v>270</v>
      </c>
      <c r="N23" s="40" t="n">
        <f aca="false">SUM(B23:M23)</f>
        <v>2440</v>
      </c>
    </row>
    <row r="24" customFormat="false" ht="15" hidden="false" customHeight="false" outlineLevel="0" collapsed="false">
      <c r="A24" s="3" t="s">
        <v>44</v>
      </c>
      <c r="B24" s="16" t="n">
        <f aca="false">SUM(B21:B23)</f>
        <v>1389.75</v>
      </c>
      <c r="C24" s="16" t="n">
        <f aca="false">SUM(C21:C23)</f>
        <v>1389.75</v>
      </c>
      <c r="D24" s="16" t="n">
        <f aca="false">SUM(D21:D23)</f>
        <v>1553.25</v>
      </c>
      <c r="E24" s="16" t="n">
        <f aca="false">SUM(E21:E23)</f>
        <v>1635</v>
      </c>
      <c r="F24" s="16" t="n">
        <f aca="false">SUM(F21:F23)</f>
        <v>1716.75</v>
      </c>
      <c r="G24" s="16" t="n">
        <f aca="false">SUM(G21:G23)</f>
        <v>1716.75</v>
      </c>
      <c r="H24" s="16" t="n">
        <f aca="false">SUM(H21:H23)</f>
        <v>1635</v>
      </c>
      <c r="I24" s="16" t="n">
        <f aca="false">SUM(I21:I23)</f>
        <v>1635</v>
      </c>
      <c r="J24" s="16" t="n">
        <f aca="false">SUM(J21:J23)</f>
        <v>1553.25</v>
      </c>
      <c r="K24" s="16" t="n">
        <f aca="false">SUM(K21:K23)</f>
        <v>1635</v>
      </c>
      <c r="L24" s="16" t="n">
        <f aca="false">SUM(L21:L23)</f>
        <v>1880.25</v>
      </c>
      <c r="M24" s="16" t="n">
        <f aca="false">SUM(M21:M23)</f>
        <v>2207.25</v>
      </c>
      <c r="N24" s="16" t="n">
        <f aca="false">SUM(N21:N23)</f>
        <v>19947</v>
      </c>
    </row>
    <row r="25" customFormat="false" ht="15" hidden="false" customHeight="false" outlineLevel="0" collapsed="false">
      <c r="A25" s="3" t="s">
        <v>45</v>
      </c>
      <c r="B25" s="16" t="n">
        <f aca="false">B20-B24</f>
        <v>1882.75</v>
      </c>
      <c r="C25" s="16" t="n">
        <f aca="false">C20-C24</f>
        <v>1882.75</v>
      </c>
      <c r="D25" s="16" t="n">
        <f aca="false">D20-D24</f>
        <v>2104.25</v>
      </c>
      <c r="E25" s="16" t="n">
        <f aca="false">E20-E24</f>
        <v>2215</v>
      </c>
      <c r="F25" s="16" t="n">
        <f aca="false">F20-F24</f>
        <v>2325.75</v>
      </c>
      <c r="G25" s="16" t="n">
        <f aca="false">G20-G24</f>
        <v>2325.75</v>
      </c>
      <c r="H25" s="16" t="n">
        <f aca="false">H20-H24</f>
        <v>2215</v>
      </c>
      <c r="I25" s="16" t="n">
        <f aca="false">I20-I24</f>
        <v>2215</v>
      </c>
      <c r="J25" s="16" t="n">
        <f aca="false">J20-J24</f>
        <v>2104.25</v>
      </c>
      <c r="K25" s="16" t="n">
        <f aca="false">K20-K24</f>
        <v>2215</v>
      </c>
      <c r="L25" s="16" t="n">
        <f aca="false">L20-L24</f>
        <v>2547.25</v>
      </c>
      <c r="M25" s="16" t="n">
        <f aca="false">M20-M24</f>
        <v>2990.25</v>
      </c>
      <c r="N25" s="16" t="n">
        <f aca="false">N20-N24</f>
        <v>27023</v>
      </c>
    </row>
    <row r="26" customFormat="false" ht="15" hidden="false" customHeight="false" outlineLevel="0" collapsed="false">
      <c r="A26" s="4" t="s">
        <v>46</v>
      </c>
      <c r="B26" s="13" t="n">
        <f aca="false">B25/B20</f>
        <v>0.575324675324675</v>
      </c>
      <c r="C26" s="13" t="n">
        <f aca="false">C25/C20</f>
        <v>0.575324675324675</v>
      </c>
      <c r="D26" s="13" t="n">
        <f aca="false">D25/D20</f>
        <v>0.575324675324675</v>
      </c>
      <c r="E26" s="13" t="n">
        <f aca="false">E25/E20</f>
        <v>0.575324675324675</v>
      </c>
      <c r="F26" s="13" t="n">
        <f aca="false">F25/F20</f>
        <v>0.575324675324675</v>
      </c>
      <c r="G26" s="13" t="n">
        <f aca="false">G25/G20</f>
        <v>0.575324675324675</v>
      </c>
      <c r="H26" s="13" t="n">
        <f aca="false">H25/H20</f>
        <v>0.575324675324675</v>
      </c>
      <c r="I26" s="13" t="n">
        <f aca="false">I25/I20</f>
        <v>0.575324675324675</v>
      </c>
      <c r="J26" s="13" t="n">
        <f aca="false">J25/J20</f>
        <v>0.575324675324675</v>
      </c>
      <c r="K26" s="13" t="n">
        <f aca="false">K25/K20</f>
        <v>0.575324675324675</v>
      </c>
      <c r="L26" s="13" t="n">
        <f aca="false">L25/L20</f>
        <v>0.575324675324675</v>
      </c>
      <c r="M26" s="13" t="n">
        <f aca="false">M25/M20</f>
        <v>0.575324675324675</v>
      </c>
      <c r="N26" s="41" t="n">
        <f aca="false">N25/N20</f>
        <v>0.575324675324675</v>
      </c>
    </row>
    <row r="28" customFormat="false" ht="15" hidden="false" customHeight="false" outlineLevel="0" collapsed="false">
      <c r="A28" s="4" t="s">
        <v>47</v>
      </c>
      <c r="B28" s="46" t="n">
        <v>195.5</v>
      </c>
      <c r="C28" s="46" t="n">
        <v>195.5</v>
      </c>
      <c r="D28" s="46" t="n">
        <v>218.5</v>
      </c>
      <c r="E28" s="46" t="n">
        <v>230</v>
      </c>
      <c r="F28" s="46" t="n">
        <v>241.5</v>
      </c>
      <c r="G28" s="46" t="n">
        <v>241.5</v>
      </c>
      <c r="H28" s="46" t="n">
        <v>230</v>
      </c>
      <c r="I28" s="46" t="n">
        <v>230</v>
      </c>
      <c r="J28" s="46" t="n">
        <v>218.5</v>
      </c>
      <c r="K28" s="46" t="n">
        <v>230</v>
      </c>
      <c r="L28" s="46" t="n">
        <v>264.5</v>
      </c>
      <c r="M28" s="46" t="n">
        <v>310.5</v>
      </c>
      <c r="N28" s="40" t="n">
        <f aca="false">SUM(B28:M28)</f>
        <v>2806</v>
      </c>
    </row>
    <row r="29" customFormat="false" ht="15" hidden="false" customHeight="false" outlineLevel="0" collapsed="false">
      <c r="A29" s="4" t="s">
        <v>48</v>
      </c>
      <c r="B29" s="46" t="n">
        <v>520</v>
      </c>
      <c r="C29" s="46" t="n">
        <v>520</v>
      </c>
      <c r="D29" s="46" t="n">
        <v>520</v>
      </c>
      <c r="E29" s="46" t="n">
        <v>520</v>
      </c>
      <c r="F29" s="46" t="n">
        <v>520</v>
      </c>
      <c r="G29" s="46" t="n">
        <v>520</v>
      </c>
      <c r="H29" s="46" t="n">
        <v>520</v>
      </c>
      <c r="I29" s="46" t="n">
        <v>520</v>
      </c>
      <c r="J29" s="46" t="n">
        <v>520</v>
      </c>
      <c r="K29" s="46" t="n">
        <v>520</v>
      </c>
      <c r="L29" s="46" t="n">
        <v>520</v>
      </c>
      <c r="M29" s="46" t="n">
        <v>520</v>
      </c>
      <c r="N29" s="40" t="n">
        <f aca="false">SUM(B29:M29)</f>
        <v>6240</v>
      </c>
    </row>
    <row r="30" customFormat="false" ht="15" hidden="false" customHeight="false" outlineLevel="0" collapsed="false">
      <c r="A30" s="4" t="s">
        <v>49</v>
      </c>
      <c r="B30" s="46" t="n">
        <v>180</v>
      </c>
      <c r="C30" s="46" t="n">
        <v>180</v>
      </c>
      <c r="D30" s="46" t="n">
        <v>180</v>
      </c>
      <c r="E30" s="46" t="n">
        <v>180</v>
      </c>
      <c r="F30" s="46" t="n">
        <v>180</v>
      </c>
      <c r="G30" s="46" t="n">
        <v>180</v>
      </c>
      <c r="H30" s="46" t="n">
        <v>180</v>
      </c>
      <c r="I30" s="46" t="n">
        <v>180</v>
      </c>
      <c r="J30" s="46" t="n">
        <v>180</v>
      </c>
      <c r="K30" s="46" t="n">
        <v>180</v>
      </c>
      <c r="L30" s="46" t="n">
        <v>180</v>
      </c>
      <c r="M30" s="46" t="n">
        <v>180</v>
      </c>
      <c r="N30" s="40" t="n">
        <f aca="false">SUM(B30:M30)</f>
        <v>2160</v>
      </c>
    </row>
    <row r="31" customFormat="false" ht="15" hidden="false" customHeight="false" outlineLevel="0" collapsed="false">
      <c r="A31" s="4" t="s">
        <v>50</v>
      </c>
      <c r="B31" s="46" t="n">
        <v>130.9</v>
      </c>
      <c r="C31" s="46" t="n">
        <v>130.9</v>
      </c>
      <c r="D31" s="46" t="n">
        <v>146.3</v>
      </c>
      <c r="E31" s="46" t="n">
        <v>154</v>
      </c>
      <c r="F31" s="46" t="n">
        <v>161.7</v>
      </c>
      <c r="G31" s="46" t="n">
        <v>161.7</v>
      </c>
      <c r="H31" s="46" t="n">
        <v>154</v>
      </c>
      <c r="I31" s="46" t="n">
        <v>154</v>
      </c>
      <c r="J31" s="46" t="n">
        <v>146.3</v>
      </c>
      <c r="K31" s="46" t="n">
        <v>154</v>
      </c>
      <c r="L31" s="46" t="n">
        <v>177.1</v>
      </c>
      <c r="M31" s="46" t="n">
        <v>207.9</v>
      </c>
      <c r="N31" s="40" t="n">
        <f aca="false">SUM(B31:M31)</f>
        <v>1878.8</v>
      </c>
    </row>
    <row r="32" customFormat="false" ht="15" hidden="false" customHeight="false" outlineLevel="0" collapsed="false">
      <c r="A32" s="4" t="s">
        <v>51</v>
      </c>
      <c r="B32" s="46" t="n">
        <v>60</v>
      </c>
      <c r="C32" s="46" t="n">
        <v>60</v>
      </c>
      <c r="D32" s="46" t="n">
        <v>60</v>
      </c>
      <c r="E32" s="46" t="n">
        <v>60</v>
      </c>
      <c r="F32" s="46" t="n">
        <v>60</v>
      </c>
      <c r="G32" s="46" t="n">
        <v>60</v>
      </c>
      <c r="H32" s="46" t="n">
        <v>60</v>
      </c>
      <c r="I32" s="46" t="n">
        <v>60</v>
      </c>
      <c r="J32" s="46" t="n">
        <v>60</v>
      </c>
      <c r="K32" s="46" t="n">
        <v>60</v>
      </c>
      <c r="L32" s="46" t="n">
        <v>60</v>
      </c>
      <c r="M32" s="46" t="n">
        <v>60</v>
      </c>
      <c r="N32" s="40" t="n">
        <f aca="false">SUM(B32:M32)</f>
        <v>720</v>
      </c>
    </row>
    <row r="33" customFormat="false" ht="15" hidden="false" customHeight="false" outlineLevel="0" collapsed="false">
      <c r="A33" s="4" t="s">
        <v>52</v>
      </c>
      <c r="B33" s="46" t="n">
        <v>25</v>
      </c>
      <c r="C33" s="46" t="n">
        <v>25</v>
      </c>
      <c r="D33" s="46" t="n">
        <v>25</v>
      </c>
      <c r="E33" s="46" t="n">
        <v>25</v>
      </c>
      <c r="F33" s="46" t="n">
        <v>25</v>
      </c>
      <c r="G33" s="46" t="n">
        <v>25</v>
      </c>
      <c r="H33" s="46" t="n">
        <v>25</v>
      </c>
      <c r="I33" s="46" t="n">
        <v>25</v>
      </c>
      <c r="J33" s="46" t="n">
        <v>25</v>
      </c>
      <c r="K33" s="46" t="n">
        <v>25</v>
      </c>
      <c r="L33" s="46" t="n">
        <v>25</v>
      </c>
      <c r="M33" s="46" t="n">
        <v>25</v>
      </c>
      <c r="N33" s="40" t="n">
        <f aca="false">SUM(B33:M33)</f>
        <v>300</v>
      </c>
    </row>
    <row r="34" customFormat="false" ht="15" hidden="false" customHeight="false" outlineLevel="0" collapsed="false">
      <c r="A34" s="4" t="s">
        <v>53</v>
      </c>
      <c r="B34" s="46" t="n">
        <v>70</v>
      </c>
      <c r="C34" s="46" t="n">
        <v>70</v>
      </c>
      <c r="D34" s="46" t="n">
        <v>70</v>
      </c>
      <c r="E34" s="46" t="n">
        <v>70</v>
      </c>
      <c r="F34" s="46" t="n">
        <v>70</v>
      </c>
      <c r="G34" s="46" t="n">
        <v>70</v>
      </c>
      <c r="H34" s="46" t="n">
        <v>70</v>
      </c>
      <c r="I34" s="46" t="n">
        <v>70</v>
      </c>
      <c r="J34" s="46" t="n">
        <v>70</v>
      </c>
      <c r="K34" s="46" t="n">
        <v>70</v>
      </c>
      <c r="L34" s="46" t="n">
        <v>70</v>
      </c>
      <c r="M34" s="46" t="n">
        <v>70</v>
      </c>
      <c r="N34" s="40" t="n">
        <f aca="false">SUM(B34:M34)</f>
        <v>840</v>
      </c>
    </row>
    <row r="35" customFormat="false" ht="15" hidden="false" customHeight="false" outlineLevel="0" collapsed="false">
      <c r="A35" s="3" t="s">
        <v>54</v>
      </c>
      <c r="B35" s="16" t="n">
        <f aca="false">SUM(B28:B34)</f>
        <v>1181.4</v>
      </c>
      <c r="C35" s="16" t="n">
        <f aca="false">SUM(C28:C34)</f>
        <v>1181.4</v>
      </c>
      <c r="D35" s="16" t="n">
        <f aca="false">SUM(D28:D34)</f>
        <v>1219.8</v>
      </c>
      <c r="E35" s="16" t="n">
        <f aca="false">SUM(E28:E34)</f>
        <v>1239</v>
      </c>
      <c r="F35" s="16" t="n">
        <f aca="false">SUM(F28:F34)</f>
        <v>1258.2</v>
      </c>
      <c r="G35" s="16" t="n">
        <f aca="false">SUM(G28:G34)</f>
        <v>1258.2</v>
      </c>
      <c r="H35" s="16" t="n">
        <f aca="false">SUM(H28:H34)</f>
        <v>1239</v>
      </c>
      <c r="I35" s="16" t="n">
        <f aca="false">SUM(I28:I34)</f>
        <v>1239</v>
      </c>
      <c r="J35" s="16" t="n">
        <f aca="false">SUM(J28:J34)</f>
        <v>1219.8</v>
      </c>
      <c r="K35" s="16" t="n">
        <f aca="false">SUM(K28:K34)</f>
        <v>1239</v>
      </c>
      <c r="L35" s="16" t="n">
        <f aca="false">SUM(L28:L34)</f>
        <v>1296.6</v>
      </c>
      <c r="M35" s="16" t="n">
        <f aca="false">SUM(M28:M34)</f>
        <v>1373.4</v>
      </c>
      <c r="N35" s="16" t="n">
        <f aca="false">SUM(N28:N34)</f>
        <v>14944.8</v>
      </c>
    </row>
    <row r="36" customFormat="false" ht="15" hidden="false" customHeight="false" outlineLevel="0" collapsed="false">
      <c r="A36" s="3" t="s">
        <v>55</v>
      </c>
      <c r="B36" s="47" t="n">
        <f aca="false">B25-B35</f>
        <v>701.35</v>
      </c>
      <c r="C36" s="47" t="n">
        <f aca="false">C25-C35</f>
        <v>701.35</v>
      </c>
      <c r="D36" s="47" t="n">
        <f aca="false">D25-D35</f>
        <v>884.45</v>
      </c>
      <c r="E36" s="47" t="n">
        <f aca="false">E25-E35</f>
        <v>976</v>
      </c>
      <c r="F36" s="47" t="n">
        <f aca="false">F25-F35</f>
        <v>1067.55</v>
      </c>
      <c r="G36" s="47" t="n">
        <f aca="false">G25-G35</f>
        <v>1067.55</v>
      </c>
      <c r="H36" s="47" t="n">
        <f aca="false">H25-H35</f>
        <v>976</v>
      </c>
      <c r="I36" s="47" t="n">
        <f aca="false">I25-I35</f>
        <v>976</v>
      </c>
      <c r="J36" s="47" t="n">
        <f aca="false">J25-J35</f>
        <v>884.45</v>
      </c>
      <c r="K36" s="47" t="n">
        <f aca="false">K25-K35</f>
        <v>976</v>
      </c>
      <c r="L36" s="47" t="n">
        <f aca="false">L25-L35</f>
        <v>1250.65</v>
      </c>
      <c r="M36" s="47" t="n">
        <f aca="false">M25-M35</f>
        <v>1616.85</v>
      </c>
      <c r="N36" s="47" t="n">
        <f aca="false">N25-N35</f>
        <v>12078.2</v>
      </c>
    </row>
    <row r="37" customFormat="false" ht="15" hidden="false" customHeight="false" outlineLevel="0" collapsed="false">
      <c r="A37" s="4" t="s">
        <v>56</v>
      </c>
      <c r="B37" s="13" t="n">
        <f aca="false">B36/B20</f>
        <v>0.214316271963331</v>
      </c>
      <c r="C37" s="13" t="n">
        <f aca="false">C36/C20</f>
        <v>0.214316271963331</v>
      </c>
      <c r="D37" s="13" t="n">
        <f aca="false">D36/D20</f>
        <v>0.241818181818182</v>
      </c>
      <c r="E37" s="13" t="n">
        <f aca="false">E36/E20</f>
        <v>0.253506493506494</v>
      </c>
      <c r="F37" s="13" t="n">
        <f aca="false">F36/F20</f>
        <v>0.264081632653061</v>
      </c>
      <c r="G37" s="13" t="n">
        <f aca="false">G36/G20</f>
        <v>0.264081632653061</v>
      </c>
      <c r="H37" s="13" t="n">
        <f aca="false">H36/H20</f>
        <v>0.253506493506494</v>
      </c>
      <c r="I37" s="13" t="n">
        <f aca="false">I36/I20</f>
        <v>0.253506493506494</v>
      </c>
      <c r="J37" s="13" t="n">
        <f aca="false">J36/J20</f>
        <v>0.241818181818182</v>
      </c>
      <c r="K37" s="13" t="n">
        <f aca="false">K36/K20</f>
        <v>0.253506493506494</v>
      </c>
      <c r="L37" s="13" t="n">
        <f aca="false">L36/L20</f>
        <v>0.282473178994918</v>
      </c>
      <c r="M37" s="13" t="n">
        <f aca="false">M36/M20</f>
        <v>0.311082251082251</v>
      </c>
      <c r="N37" s="41" t="n">
        <f aca="false">N36/N20</f>
        <v>0.257147115179902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9" t="s">
        <v>31</v>
      </c>
      <c r="B4" s="10" t="s">
        <v>131</v>
      </c>
      <c r="C4" s="10" t="s">
        <v>132</v>
      </c>
      <c r="D4" s="10" t="s">
        <v>133</v>
      </c>
      <c r="E4" s="10" t="s">
        <v>134</v>
      </c>
      <c r="F4" s="10" t="s">
        <v>135</v>
      </c>
      <c r="G4" s="10" t="s">
        <v>136</v>
      </c>
      <c r="H4" s="10" t="s">
        <v>137</v>
      </c>
      <c r="I4" s="10" t="s">
        <v>138</v>
      </c>
      <c r="J4" s="10" t="s">
        <v>139</v>
      </c>
      <c r="K4" s="10" t="s">
        <v>140</v>
      </c>
      <c r="L4" s="10" t="s">
        <v>141</v>
      </c>
      <c r="M4" s="10" t="s">
        <v>142</v>
      </c>
      <c r="N4" s="10" t="s">
        <v>143</v>
      </c>
    </row>
    <row r="5" customFormat="false" ht="15" hidden="false" customHeight="false" outlineLevel="0" collapsed="false">
      <c r="A5" s="20" t="s">
        <v>157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customFormat="false" ht="15" hidden="false" customHeight="false" outlineLevel="0" collapsed="false">
      <c r="A6" s="4" t="s">
        <v>158</v>
      </c>
      <c r="B6" s="42" t="n">
        <v>16.88</v>
      </c>
      <c r="C6" s="42" t="n">
        <v>16.7</v>
      </c>
      <c r="D6" s="42" t="n">
        <v>18.94</v>
      </c>
      <c r="E6" s="42" t="n">
        <v>20.36</v>
      </c>
      <c r="F6" s="42" t="n">
        <v>21.3</v>
      </c>
      <c r="G6" s="42" t="n">
        <v>21.27</v>
      </c>
      <c r="H6" s="42" t="n">
        <v>19.65</v>
      </c>
      <c r="I6" s="42" t="n">
        <v>20.07</v>
      </c>
      <c r="J6" s="42" t="n">
        <v>19.06</v>
      </c>
      <c r="K6" s="42" t="n">
        <v>19.69</v>
      </c>
      <c r="L6" s="42" t="n">
        <v>23.15</v>
      </c>
      <c r="M6" s="42" t="n">
        <v>27.1</v>
      </c>
      <c r="N6" s="43" t="n">
        <f aca="false">SUM(B6:M6)</f>
        <v>244.17</v>
      </c>
    </row>
    <row r="7" customFormat="false" ht="15" hidden="false" customHeight="false" outlineLevel="0" collapsed="false">
      <c r="A7" s="4" t="s">
        <v>159</v>
      </c>
      <c r="B7" s="44" t="n">
        <v>95</v>
      </c>
      <c r="C7" s="44" t="n">
        <v>95</v>
      </c>
      <c r="D7" s="44" t="n">
        <v>95</v>
      </c>
      <c r="E7" s="44" t="n">
        <v>95</v>
      </c>
      <c r="F7" s="44" t="n">
        <v>95</v>
      </c>
      <c r="G7" s="44" t="n">
        <v>95</v>
      </c>
      <c r="H7" s="44" t="n">
        <v>95</v>
      </c>
      <c r="I7" s="44" t="n">
        <v>95</v>
      </c>
      <c r="J7" s="44" t="n">
        <v>95</v>
      </c>
      <c r="K7" s="44" t="n">
        <v>95</v>
      </c>
      <c r="L7" s="44" t="n">
        <v>95</v>
      </c>
      <c r="M7" s="44" t="n">
        <v>95</v>
      </c>
      <c r="N7" s="45" t="n">
        <f aca="false">N17/N6</f>
        <v>95</v>
      </c>
    </row>
    <row r="8" customFormat="false" ht="15" hidden="false" customHeight="false" outlineLevel="0" collapsed="false">
      <c r="A8" s="4" t="s">
        <v>160</v>
      </c>
      <c r="B8" s="44" t="n">
        <v>42</v>
      </c>
      <c r="C8" s="44" t="n">
        <v>42</v>
      </c>
      <c r="D8" s="44" t="n">
        <v>42</v>
      </c>
      <c r="E8" s="44" t="n">
        <v>42</v>
      </c>
      <c r="F8" s="44" t="n">
        <v>42</v>
      </c>
      <c r="G8" s="44" t="n">
        <v>44.52</v>
      </c>
      <c r="H8" s="44" t="n">
        <v>44.52</v>
      </c>
      <c r="I8" s="44" t="n">
        <v>44.52</v>
      </c>
      <c r="J8" s="44" t="n">
        <v>44.52</v>
      </c>
      <c r="K8" s="44" t="n">
        <v>44.52</v>
      </c>
      <c r="L8" s="44" t="n">
        <v>44.52</v>
      </c>
      <c r="M8" s="44" t="n">
        <v>44.52</v>
      </c>
      <c r="N8" s="45" t="n">
        <f aca="false">N21/N6</f>
        <v>43.5479985256174</v>
      </c>
    </row>
    <row r="9" customFormat="false" ht="15" hidden="false" customHeight="false" outlineLevel="0" collapsed="false">
      <c r="A9" s="4" t="s">
        <v>161</v>
      </c>
      <c r="B9" s="42" t="n">
        <v>29.33</v>
      </c>
      <c r="C9" s="42" t="n">
        <v>29.76</v>
      </c>
      <c r="D9" s="42" t="n">
        <v>39.75</v>
      </c>
      <c r="E9" s="42" t="n">
        <v>41.43</v>
      </c>
      <c r="F9" s="42" t="n">
        <v>43</v>
      </c>
      <c r="G9" s="42" t="n">
        <v>42.81</v>
      </c>
      <c r="H9" s="42" t="n">
        <v>40.57</v>
      </c>
      <c r="I9" s="42" t="n">
        <v>37.73</v>
      </c>
      <c r="J9" s="42" t="n">
        <v>35.95</v>
      </c>
      <c r="K9" s="42" t="n">
        <v>37.68</v>
      </c>
      <c r="L9" s="42" t="n">
        <v>43.93</v>
      </c>
      <c r="M9" s="42" t="n">
        <v>51.19</v>
      </c>
      <c r="N9" s="43" t="n">
        <f aca="false">SUM(B9:M9)</f>
        <v>473.13</v>
      </c>
    </row>
    <row r="10" customFormat="false" ht="15" hidden="false" customHeight="false" outlineLevel="0" collapsed="false">
      <c r="A10" s="4" t="s">
        <v>162</v>
      </c>
      <c r="B10" s="44" t="n">
        <v>40</v>
      </c>
      <c r="C10" s="44" t="n">
        <v>40</v>
      </c>
      <c r="D10" s="44" t="n">
        <v>40</v>
      </c>
      <c r="E10" s="44" t="n">
        <v>40</v>
      </c>
      <c r="F10" s="44" t="n">
        <v>40</v>
      </c>
      <c r="G10" s="44" t="n">
        <v>40</v>
      </c>
      <c r="H10" s="44" t="n">
        <v>40</v>
      </c>
      <c r="I10" s="44" t="n">
        <v>40</v>
      </c>
      <c r="J10" s="44" t="n">
        <v>40</v>
      </c>
      <c r="K10" s="44" t="n">
        <v>40</v>
      </c>
      <c r="L10" s="44" t="n">
        <v>40</v>
      </c>
      <c r="M10" s="44" t="n">
        <v>40</v>
      </c>
      <c r="N10" s="45" t="n">
        <f aca="false">N18/N9</f>
        <v>40</v>
      </c>
    </row>
    <row r="11" customFormat="false" ht="15" hidden="false" customHeight="false" outlineLevel="0" collapsed="false">
      <c r="A11" s="4" t="s">
        <v>163</v>
      </c>
      <c r="B11" s="44" t="n">
        <v>17</v>
      </c>
      <c r="C11" s="44" t="n">
        <v>17</v>
      </c>
      <c r="D11" s="44" t="n">
        <v>17</v>
      </c>
      <c r="E11" s="44" t="n">
        <v>17</v>
      </c>
      <c r="F11" s="44" t="n">
        <v>17</v>
      </c>
      <c r="G11" s="44" t="n">
        <v>17</v>
      </c>
      <c r="H11" s="44" t="n">
        <v>17</v>
      </c>
      <c r="I11" s="44" t="n">
        <v>17</v>
      </c>
      <c r="J11" s="44" t="n">
        <v>17</v>
      </c>
      <c r="K11" s="44" t="n">
        <v>17</v>
      </c>
      <c r="L11" s="44" t="n">
        <v>17</v>
      </c>
      <c r="M11" s="44" t="n">
        <v>17</v>
      </c>
      <c r="N11" s="45" t="n">
        <f aca="false">N22/N9</f>
        <v>17</v>
      </c>
    </row>
    <row r="12" customFormat="false" ht="15" hidden="false" customHeight="false" outlineLevel="0" collapsed="false">
      <c r="A12" s="4" t="s">
        <v>164</v>
      </c>
      <c r="B12" s="42" t="n">
        <v>20.74</v>
      </c>
      <c r="C12" s="42" t="n">
        <v>20.23</v>
      </c>
      <c r="D12" s="42" t="n">
        <v>22.69</v>
      </c>
      <c r="E12" s="42" t="n">
        <v>24.15</v>
      </c>
      <c r="F12" s="42" t="n">
        <v>25.1</v>
      </c>
      <c r="G12" s="42" t="n">
        <v>25.55</v>
      </c>
      <c r="H12" s="42" t="n">
        <v>23.96</v>
      </c>
      <c r="I12" s="42" t="n">
        <v>24.06</v>
      </c>
      <c r="J12" s="42" t="n">
        <v>23.38</v>
      </c>
      <c r="K12" s="42" t="n">
        <v>26.52</v>
      </c>
      <c r="L12" s="42" t="n">
        <v>30.28</v>
      </c>
      <c r="M12" s="42" t="n">
        <v>35.38</v>
      </c>
      <c r="N12" s="43" t="n">
        <f aca="false">SUM(B12:M12)</f>
        <v>302.04</v>
      </c>
    </row>
    <row r="13" customFormat="false" ht="15" hidden="false" customHeight="false" outlineLevel="0" collapsed="false">
      <c r="A13" s="4" t="s">
        <v>165</v>
      </c>
      <c r="B13" s="44" t="n">
        <v>22</v>
      </c>
      <c r="C13" s="44" t="n">
        <v>22</v>
      </c>
      <c r="D13" s="44" t="n">
        <v>22</v>
      </c>
      <c r="E13" s="44" t="n">
        <v>22</v>
      </c>
      <c r="F13" s="44" t="n">
        <v>22</v>
      </c>
      <c r="G13" s="44" t="n">
        <v>22</v>
      </c>
      <c r="H13" s="44" t="n">
        <v>22</v>
      </c>
      <c r="I13" s="44" t="n">
        <v>22</v>
      </c>
      <c r="J13" s="44" t="n">
        <v>22</v>
      </c>
      <c r="K13" s="44" t="n">
        <v>18.7</v>
      </c>
      <c r="L13" s="44" t="n">
        <v>18.7</v>
      </c>
      <c r="M13" s="44" t="n">
        <v>18.7</v>
      </c>
      <c r="N13" s="45" t="n">
        <f aca="false">N19/N12</f>
        <v>20.9928684942392</v>
      </c>
    </row>
    <row r="14" customFormat="false" ht="15" hidden="false" customHeight="false" outlineLevel="0" collapsed="false">
      <c r="A14" s="4" t="s">
        <v>166</v>
      </c>
      <c r="B14" s="44" t="n">
        <v>8</v>
      </c>
      <c r="C14" s="44" t="n">
        <v>8</v>
      </c>
      <c r="D14" s="44" t="n">
        <v>8</v>
      </c>
      <c r="E14" s="44" t="n">
        <v>8</v>
      </c>
      <c r="F14" s="44" t="n">
        <v>8</v>
      </c>
      <c r="G14" s="44" t="n">
        <v>8</v>
      </c>
      <c r="H14" s="44" t="n">
        <v>8</v>
      </c>
      <c r="I14" s="44" t="n">
        <v>8</v>
      </c>
      <c r="J14" s="44" t="n">
        <v>8</v>
      </c>
      <c r="K14" s="44" t="n">
        <v>8</v>
      </c>
      <c r="L14" s="44" t="n">
        <v>8</v>
      </c>
      <c r="M14" s="44" t="n">
        <v>8</v>
      </c>
      <c r="N14" s="45" t="n">
        <f aca="false">N23/N12</f>
        <v>8</v>
      </c>
    </row>
    <row r="16" customFormat="false" ht="15" hidden="false" customHeight="false" outlineLevel="0" collapsed="false">
      <c r="A16" s="20" t="s">
        <v>167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customFormat="false" ht="15" hidden="false" customHeight="false" outlineLevel="0" collapsed="false">
      <c r="A17" s="4" t="s">
        <v>37</v>
      </c>
      <c r="B17" s="12" t="n">
        <f aca="false">B6*B7</f>
        <v>1603.6</v>
      </c>
      <c r="C17" s="12" t="n">
        <f aca="false">C6*C7</f>
        <v>1586.5</v>
      </c>
      <c r="D17" s="12" t="n">
        <f aca="false">D6*D7</f>
        <v>1799.3</v>
      </c>
      <c r="E17" s="12" t="n">
        <f aca="false">E6*E7</f>
        <v>1934.2</v>
      </c>
      <c r="F17" s="12" t="n">
        <f aca="false">F6*F7</f>
        <v>2023.5</v>
      </c>
      <c r="G17" s="12" t="n">
        <f aca="false">G6*G7</f>
        <v>2020.65</v>
      </c>
      <c r="H17" s="12" t="n">
        <f aca="false">H6*H7</f>
        <v>1866.75</v>
      </c>
      <c r="I17" s="12" t="n">
        <f aca="false">I6*I7</f>
        <v>1906.65</v>
      </c>
      <c r="J17" s="12" t="n">
        <f aca="false">J6*J7</f>
        <v>1810.7</v>
      </c>
      <c r="K17" s="12" t="n">
        <f aca="false">K6*K7</f>
        <v>1870.55</v>
      </c>
      <c r="L17" s="12" t="n">
        <f aca="false">L6*L7</f>
        <v>2199.25</v>
      </c>
      <c r="M17" s="12" t="n">
        <f aca="false">M6*M7</f>
        <v>2574.5</v>
      </c>
      <c r="N17" s="40" t="n">
        <f aca="false">SUM(B17:M17)</f>
        <v>23196.15</v>
      </c>
    </row>
    <row r="18" customFormat="false" ht="15" hidden="false" customHeight="false" outlineLevel="0" collapsed="false">
      <c r="A18" s="4" t="s">
        <v>38</v>
      </c>
      <c r="B18" s="12" t="n">
        <f aca="false">B9*B10</f>
        <v>1173.2</v>
      </c>
      <c r="C18" s="12" t="n">
        <f aca="false">C9*C10</f>
        <v>1190.4</v>
      </c>
      <c r="D18" s="12" t="n">
        <f aca="false">D9*D10</f>
        <v>1590</v>
      </c>
      <c r="E18" s="12" t="n">
        <f aca="false">E9*E10</f>
        <v>1657.2</v>
      </c>
      <c r="F18" s="12" t="n">
        <f aca="false">F9*F10</f>
        <v>1720</v>
      </c>
      <c r="G18" s="12" t="n">
        <f aca="false">G9*G10</f>
        <v>1712.4</v>
      </c>
      <c r="H18" s="12" t="n">
        <f aca="false">H9*H10</f>
        <v>1622.8</v>
      </c>
      <c r="I18" s="12" t="n">
        <f aca="false">I9*I10</f>
        <v>1509.2</v>
      </c>
      <c r="J18" s="12" t="n">
        <f aca="false">J9*J10</f>
        <v>1438</v>
      </c>
      <c r="K18" s="12" t="n">
        <f aca="false">K9*K10</f>
        <v>1507.2</v>
      </c>
      <c r="L18" s="12" t="n">
        <f aca="false">L9*L10</f>
        <v>1757.2</v>
      </c>
      <c r="M18" s="12" t="n">
        <f aca="false">M9*M10</f>
        <v>2047.6</v>
      </c>
      <c r="N18" s="40" t="n">
        <f aca="false">SUM(B18:M18)</f>
        <v>18925.2</v>
      </c>
    </row>
    <row r="19" customFormat="false" ht="15" hidden="false" customHeight="false" outlineLevel="0" collapsed="false">
      <c r="A19" s="4" t="s">
        <v>39</v>
      </c>
      <c r="B19" s="12" t="n">
        <f aca="false">B12*B13</f>
        <v>456.28</v>
      </c>
      <c r="C19" s="12" t="n">
        <f aca="false">C12*C13</f>
        <v>445.06</v>
      </c>
      <c r="D19" s="12" t="n">
        <f aca="false">D12*D13</f>
        <v>499.18</v>
      </c>
      <c r="E19" s="12" t="n">
        <f aca="false">E12*E13</f>
        <v>531.3</v>
      </c>
      <c r="F19" s="12" t="n">
        <f aca="false">F12*F13</f>
        <v>552.2</v>
      </c>
      <c r="G19" s="12" t="n">
        <f aca="false">G12*G13</f>
        <v>562.1</v>
      </c>
      <c r="H19" s="12" t="n">
        <f aca="false">H12*H13</f>
        <v>527.12</v>
      </c>
      <c r="I19" s="12" t="n">
        <f aca="false">I12*I13</f>
        <v>529.32</v>
      </c>
      <c r="J19" s="12" t="n">
        <f aca="false">J12*J13</f>
        <v>514.36</v>
      </c>
      <c r="K19" s="12" t="n">
        <f aca="false">K12*K13</f>
        <v>495.924</v>
      </c>
      <c r="L19" s="12" t="n">
        <f aca="false">L12*L13</f>
        <v>566.236</v>
      </c>
      <c r="M19" s="12" t="n">
        <f aca="false">M12*M13</f>
        <v>661.606</v>
      </c>
      <c r="N19" s="40" t="n">
        <f aca="false">SUM(B19:M19)</f>
        <v>6340.686</v>
      </c>
    </row>
    <row r="20" customFormat="false" ht="15" hidden="false" customHeight="false" outlineLevel="0" collapsed="false">
      <c r="A20" s="3" t="s">
        <v>40</v>
      </c>
      <c r="B20" s="16" t="n">
        <f aca="false">SUM(B17:B19)</f>
        <v>3233.08</v>
      </c>
      <c r="C20" s="16" t="n">
        <f aca="false">SUM(C17:C19)</f>
        <v>3221.96</v>
      </c>
      <c r="D20" s="16" t="n">
        <f aca="false">SUM(D17:D19)</f>
        <v>3888.48</v>
      </c>
      <c r="E20" s="16" t="n">
        <f aca="false">SUM(E17:E19)</f>
        <v>4122.7</v>
      </c>
      <c r="F20" s="16" t="n">
        <f aca="false">SUM(F17:F19)</f>
        <v>4295.7</v>
      </c>
      <c r="G20" s="16" t="n">
        <f aca="false">SUM(G17:G19)</f>
        <v>4295.15</v>
      </c>
      <c r="H20" s="16" t="n">
        <f aca="false">SUM(H17:H19)</f>
        <v>4016.67</v>
      </c>
      <c r="I20" s="16" t="n">
        <f aca="false">SUM(I17:I19)</f>
        <v>3945.17</v>
      </c>
      <c r="J20" s="16" t="n">
        <f aca="false">SUM(J17:J19)</f>
        <v>3763.06</v>
      </c>
      <c r="K20" s="16" t="n">
        <f aca="false">SUM(K17:K19)</f>
        <v>3873.674</v>
      </c>
      <c r="L20" s="16" t="n">
        <f aca="false">SUM(L17:L19)</f>
        <v>4522.686</v>
      </c>
      <c r="M20" s="16" t="n">
        <f aca="false">SUM(M17:M19)</f>
        <v>5283.706</v>
      </c>
      <c r="N20" s="16" t="n">
        <f aca="false">SUM(N17:N19)</f>
        <v>48462.036</v>
      </c>
    </row>
    <row r="21" customFormat="false" ht="15" hidden="false" customHeight="false" outlineLevel="0" collapsed="false">
      <c r="A21" s="4" t="s">
        <v>41</v>
      </c>
      <c r="B21" s="12" t="n">
        <f aca="false">B6*B8</f>
        <v>708.96</v>
      </c>
      <c r="C21" s="12" t="n">
        <f aca="false">C6*C8</f>
        <v>701.4</v>
      </c>
      <c r="D21" s="12" t="n">
        <f aca="false">D6*D8</f>
        <v>795.48</v>
      </c>
      <c r="E21" s="12" t="n">
        <f aca="false">E6*E8</f>
        <v>855.12</v>
      </c>
      <c r="F21" s="12" t="n">
        <f aca="false">F6*F8</f>
        <v>894.6</v>
      </c>
      <c r="G21" s="12" t="n">
        <f aca="false">G6*G8</f>
        <v>946.9404</v>
      </c>
      <c r="H21" s="12" t="n">
        <f aca="false">H6*H8</f>
        <v>874.818</v>
      </c>
      <c r="I21" s="12" t="n">
        <f aca="false">I6*I8</f>
        <v>893.5164</v>
      </c>
      <c r="J21" s="12" t="n">
        <f aca="false">J6*J8</f>
        <v>848.5512</v>
      </c>
      <c r="K21" s="12" t="n">
        <f aca="false">K6*K8</f>
        <v>876.5988</v>
      </c>
      <c r="L21" s="12" t="n">
        <f aca="false">L6*L8</f>
        <v>1030.638</v>
      </c>
      <c r="M21" s="12" t="n">
        <f aca="false">M6*M8</f>
        <v>1206.492</v>
      </c>
      <c r="N21" s="40" t="n">
        <f aca="false">SUM(B21:M21)</f>
        <v>10633.1148</v>
      </c>
    </row>
    <row r="22" customFormat="false" ht="15" hidden="false" customHeight="false" outlineLevel="0" collapsed="false">
      <c r="A22" s="4" t="s">
        <v>42</v>
      </c>
      <c r="B22" s="12" t="n">
        <f aca="false">B9*B11</f>
        <v>498.61</v>
      </c>
      <c r="C22" s="12" t="n">
        <f aca="false">C9*C11</f>
        <v>505.92</v>
      </c>
      <c r="D22" s="12" t="n">
        <f aca="false">D9*D11</f>
        <v>675.75</v>
      </c>
      <c r="E22" s="12" t="n">
        <f aca="false">E9*E11</f>
        <v>704.31</v>
      </c>
      <c r="F22" s="12" t="n">
        <f aca="false">F9*F11</f>
        <v>731</v>
      </c>
      <c r="G22" s="12" t="n">
        <f aca="false">G9*G11</f>
        <v>727.77</v>
      </c>
      <c r="H22" s="12" t="n">
        <f aca="false">H9*H11</f>
        <v>689.69</v>
      </c>
      <c r="I22" s="12" t="n">
        <f aca="false">I9*I11</f>
        <v>641.41</v>
      </c>
      <c r="J22" s="12" t="n">
        <f aca="false">J9*J11</f>
        <v>611.15</v>
      </c>
      <c r="K22" s="12" t="n">
        <f aca="false">K9*K11</f>
        <v>640.56</v>
      </c>
      <c r="L22" s="12" t="n">
        <f aca="false">L9*L11</f>
        <v>746.81</v>
      </c>
      <c r="M22" s="12" t="n">
        <f aca="false">M9*M11</f>
        <v>870.23</v>
      </c>
      <c r="N22" s="40" t="n">
        <f aca="false">SUM(B22:M22)</f>
        <v>8043.21</v>
      </c>
    </row>
    <row r="23" customFormat="false" ht="15" hidden="false" customHeight="false" outlineLevel="0" collapsed="false">
      <c r="A23" s="4" t="s">
        <v>43</v>
      </c>
      <c r="B23" s="12" t="n">
        <f aca="false">B12*B14</f>
        <v>165.92</v>
      </c>
      <c r="C23" s="12" t="n">
        <f aca="false">C12*C14</f>
        <v>161.84</v>
      </c>
      <c r="D23" s="12" t="n">
        <f aca="false">D12*D14</f>
        <v>181.52</v>
      </c>
      <c r="E23" s="12" t="n">
        <f aca="false">E12*E14</f>
        <v>193.2</v>
      </c>
      <c r="F23" s="12" t="n">
        <f aca="false">F12*F14</f>
        <v>200.8</v>
      </c>
      <c r="G23" s="12" t="n">
        <f aca="false">G12*G14</f>
        <v>204.4</v>
      </c>
      <c r="H23" s="12" t="n">
        <f aca="false">H12*H14</f>
        <v>191.68</v>
      </c>
      <c r="I23" s="12" t="n">
        <f aca="false">I12*I14</f>
        <v>192.48</v>
      </c>
      <c r="J23" s="12" t="n">
        <f aca="false">J12*J14</f>
        <v>187.04</v>
      </c>
      <c r="K23" s="12" t="n">
        <f aca="false">K12*K14</f>
        <v>212.16</v>
      </c>
      <c r="L23" s="12" t="n">
        <f aca="false">L12*L14</f>
        <v>242.24</v>
      </c>
      <c r="M23" s="12" t="n">
        <f aca="false">M12*M14</f>
        <v>283.04</v>
      </c>
      <c r="N23" s="40" t="n">
        <f aca="false">SUM(B23:M23)</f>
        <v>2416.32</v>
      </c>
    </row>
    <row r="24" customFormat="false" ht="15" hidden="false" customHeight="false" outlineLevel="0" collapsed="false">
      <c r="A24" s="3" t="s">
        <v>44</v>
      </c>
      <c r="B24" s="16" t="n">
        <f aca="false">SUM(B21:B23)</f>
        <v>1373.49</v>
      </c>
      <c r="C24" s="16" t="n">
        <f aca="false">SUM(C21:C23)</f>
        <v>1369.16</v>
      </c>
      <c r="D24" s="16" t="n">
        <f aca="false">SUM(D21:D23)</f>
        <v>1652.75</v>
      </c>
      <c r="E24" s="16" t="n">
        <f aca="false">SUM(E21:E23)</f>
        <v>1752.63</v>
      </c>
      <c r="F24" s="16" t="n">
        <f aca="false">SUM(F21:F23)</f>
        <v>1826.4</v>
      </c>
      <c r="G24" s="16" t="n">
        <f aca="false">SUM(G21:G23)</f>
        <v>1879.1104</v>
      </c>
      <c r="H24" s="16" t="n">
        <f aca="false">SUM(H21:H23)</f>
        <v>1756.188</v>
      </c>
      <c r="I24" s="16" t="n">
        <f aca="false">SUM(I21:I23)</f>
        <v>1727.4064</v>
      </c>
      <c r="J24" s="16" t="n">
        <f aca="false">SUM(J21:J23)</f>
        <v>1646.7412</v>
      </c>
      <c r="K24" s="16" t="n">
        <f aca="false">SUM(K21:K23)</f>
        <v>1729.3188</v>
      </c>
      <c r="L24" s="16" t="n">
        <f aca="false">SUM(L21:L23)</f>
        <v>2019.688</v>
      </c>
      <c r="M24" s="16" t="n">
        <f aca="false">SUM(M21:M23)</f>
        <v>2359.762</v>
      </c>
      <c r="N24" s="16" t="n">
        <f aca="false">SUM(N21:N23)</f>
        <v>21092.6448</v>
      </c>
    </row>
    <row r="25" customFormat="false" ht="15" hidden="false" customHeight="false" outlineLevel="0" collapsed="false">
      <c r="A25" s="3" t="s">
        <v>45</v>
      </c>
      <c r="B25" s="16" t="n">
        <f aca="false">B20-B24</f>
        <v>1859.59</v>
      </c>
      <c r="C25" s="16" t="n">
        <f aca="false">C20-C24</f>
        <v>1852.8</v>
      </c>
      <c r="D25" s="16" t="n">
        <f aca="false">D20-D24</f>
        <v>2235.73</v>
      </c>
      <c r="E25" s="16" t="n">
        <f aca="false">E20-E24</f>
        <v>2370.07</v>
      </c>
      <c r="F25" s="16" t="n">
        <f aca="false">F20-F24</f>
        <v>2469.3</v>
      </c>
      <c r="G25" s="16" t="n">
        <f aca="false">G20-G24</f>
        <v>2416.0396</v>
      </c>
      <c r="H25" s="16" t="n">
        <f aca="false">H20-H24</f>
        <v>2260.482</v>
      </c>
      <c r="I25" s="16" t="n">
        <f aca="false">I20-I24</f>
        <v>2217.7636</v>
      </c>
      <c r="J25" s="16" t="n">
        <f aca="false">J20-J24</f>
        <v>2116.3188</v>
      </c>
      <c r="K25" s="16" t="n">
        <f aca="false">K20-K24</f>
        <v>2144.3552</v>
      </c>
      <c r="L25" s="16" t="n">
        <f aca="false">L20-L24</f>
        <v>2502.998</v>
      </c>
      <c r="M25" s="16" t="n">
        <f aca="false">M20-M24</f>
        <v>2923.944</v>
      </c>
      <c r="N25" s="16" t="n">
        <f aca="false">N20-N24</f>
        <v>27369.3912</v>
      </c>
    </row>
    <row r="26" customFormat="false" ht="15" hidden="false" customHeight="false" outlineLevel="0" collapsed="false">
      <c r="A26" s="4" t="s">
        <v>46</v>
      </c>
      <c r="B26" s="13" t="n">
        <f aca="false">B25/B20</f>
        <v>0.575175993170599</v>
      </c>
      <c r="C26" s="13" t="n">
        <f aca="false">C25/C20</f>
        <v>0.575053694024755</v>
      </c>
      <c r="D26" s="13" t="n">
        <f aca="false">D25/D20</f>
        <v>0.574962453195079</v>
      </c>
      <c r="E26" s="13" t="n">
        <f aca="false">E25/E20</f>
        <v>0.574882965047178</v>
      </c>
      <c r="F26" s="13" t="n">
        <f aca="false">F25/F20</f>
        <v>0.574830644598087</v>
      </c>
      <c r="G26" s="13" t="n">
        <f aca="false">G25/G20</f>
        <v>0.562504126747611</v>
      </c>
      <c r="H26" s="13" t="n">
        <f aca="false">H25/H20</f>
        <v>0.562775134626444</v>
      </c>
      <c r="I26" s="13" t="n">
        <f aca="false">I25/I20</f>
        <v>0.562146523470472</v>
      </c>
      <c r="J26" s="13" t="n">
        <f aca="false">J25/J20</f>
        <v>0.562393052462624</v>
      </c>
      <c r="K26" s="13" t="n">
        <f aca="false">K25/K20</f>
        <v>0.553571415663786</v>
      </c>
      <c r="L26" s="13" t="n">
        <f aca="false">L25/L20</f>
        <v>0.553431743879633</v>
      </c>
      <c r="M26" s="13" t="n">
        <f aca="false">M25/M20</f>
        <v>0.553388852445613</v>
      </c>
      <c r="N26" s="41" t="n">
        <f aca="false">N25/N20</f>
        <v>0.564759417041414</v>
      </c>
    </row>
    <row r="28" customFormat="false" ht="15" hidden="false" customHeight="false" outlineLevel="0" collapsed="false">
      <c r="A28" s="4" t="s">
        <v>47</v>
      </c>
      <c r="B28" s="46" t="n">
        <v>190.5</v>
      </c>
      <c r="C28" s="46" t="n">
        <v>194.7</v>
      </c>
      <c r="D28" s="46" t="n">
        <v>305.9</v>
      </c>
      <c r="E28" s="46" t="n">
        <v>322</v>
      </c>
      <c r="F28" s="46" t="n">
        <v>338.1</v>
      </c>
      <c r="G28" s="46" t="n">
        <v>243.5</v>
      </c>
      <c r="H28" s="46" t="n">
        <v>232.5</v>
      </c>
      <c r="I28" s="46" t="n">
        <v>234.1</v>
      </c>
      <c r="J28" s="46" t="n">
        <v>221.5</v>
      </c>
      <c r="K28" s="46" t="n">
        <v>225.2</v>
      </c>
      <c r="L28" s="46" t="n">
        <v>270.5</v>
      </c>
      <c r="M28" s="46" t="n">
        <v>316.8</v>
      </c>
      <c r="N28" s="40" t="n">
        <f aca="false">SUM(B28:M28)</f>
        <v>3095.3</v>
      </c>
    </row>
    <row r="29" customFormat="false" ht="15" hidden="false" customHeight="false" outlineLevel="0" collapsed="false">
      <c r="A29" s="4" t="s">
        <v>48</v>
      </c>
      <c r="B29" s="46" t="n">
        <v>470</v>
      </c>
      <c r="C29" s="46" t="n">
        <v>470</v>
      </c>
      <c r="D29" s="46" t="n">
        <v>470</v>
      </c>
      <c r="E29" s="46" t="n">
        <v>470</v>
      </c>
      <c r="F29" s="46" t="n">
        <v>470</v>
      </c>
      <c r="G29" s="46" t="n">
        <v>470</v>
      </c>
      <c r="H29" s="46" t="n">
        <v>515</v>
      </c>
      <c r="I29" s="46" t="n">
        <v>515</v>
      </c>
      <c r="J29" s="46" t="n">
        <v>515</v>
      </c>
      <c r="K29" s="46" t="n">
        <v>515</v>
      </c>
      <c r="L29" s="46" t="n">
        <v>515</v>
      </c>
      <c r="M29" s="46" t="n">
        <v>515</v>
      </c>
      <c r="N29" s="40" t="n">
        <f aca="false">SUM(B29:M29)</f>
        <v>5910</v>
      </c>
    </row>
    <row r="30" customFormat="false" ht="15" hidden="false" customHeight="false" outlineLevel="0" collapsed="false">
      <c r="A30" s="4" t="s">
        <v>49</v>
      </c>
      <c r="B30" s="46" t="n">
        <v>180</v>
      </c>
      <c r="C30" s="46" t="n">
        <v>180</v>
      </c>
      <c r="D30" s="46" t="n">
        <v>180</v>
      </c>
      <c r="E30" s="46" t="n">
        <v>180</v>
      </c>
      <c r="F30" s="46" t="n">
        <v>180</v>
      </c>
      <c r="G30" s="46" t="n">
        <v>180</v>
      </c>
      <c r="H30" s="46" t="n">
        <v>180</v>
      </c>
      <c r="I30" s="46" t="n">
        <v>180</v>
      </c>
      <c r="J30" s="46" t="n">
        <v>180</v>
      </c>
      <c r="K30" s="46" t="n">
        <v>180</v>
      </c>
      <c r="L30" s="46" t="n">
        <v>180</v>
      </c>
      <c r="M30" s="46" t="n">
        <v>180</v>
      </c>
      <c r="N30" s="40" t="n">
        <f aca="false">SUM(B30:M30)</f>
        <v>2160</v>
      </c>
    </row>
    <row r="31" customFormat="false" ht="15" hidden="false" customHeight="false" outlineLevel="0" collapsed="false">
      <c r="A31" s="4" t="s">
        <v>50</v>
      </c>
      <c r="B31" s="46" t="n">
        <v>129.3</v>
      </c>
      <c r="C31" s="46" t="n">
        <v>128.9</v>
      </c>
      <c r="D31" s="46" t="n">
        <v>155.5</v>
      </c>
      <c r="E31" s="46" t="n">
        <v>164.9</v>
      </c>
      <c r="F31" s="46" t="n">
        <v>171.8</v>
      </c>
      <c r="G31" s="46" t="n">
        <v>171.8</v>
      </c>
      <c r="H31" s="46" t="n">
        <v>220.9</v>
      </c>
      <c r="I31" s="46" t="n">
        <v>217</v>
      </c>
      <c r="J31" s="46" t="n">
        <v>206.9</v>
      </c>
      <c r="K31" s="46" t="n">
        <v>213.1</v>
      </c>
      <c r="L31" s="46" t="n">
        <v>248.8</v>
      </c>
      <c r="M31" s="46" t="n">
        <v>290.6</v>
      </c>
      <c r="N31" s="40" t="n">
        <f aca="false">SUM(B31:M31)</f>
        <v>2319.5</v>
      </c>
    </row>
    <row r="32" customFormat="false" ht="15" hidden="false" customHeight="false" outlineLevel="0" collapsed="false">
      <c r="A32" s="4" t="s">
        <v>51</v>
      </c>
      <c r="B32" s="46" t="n">
        <v>60</v>
      </c>
      <c r="C32" s="46" t="n">
        <v>60</v>
      </c>
      <c r="D32" s="46" t="n">
        <v>60</v>
      </c>
      <c r="E32" s="46" t="n">
        <v>60</v>
      </c>
      <c r="F32" s="46" t="n">
        <v>60</v>
      </c>
      <c r="G32" s="46" t="n">
        <v>60</v>
      </c>
      <c r="H32" s="46" t="n">
        <v>60</v>
      </c>
      <c r="I32" s="46" t="n">
        <v>60</v>
      </c>
      <c r="J32" s="46" t="n">
        <v>300</v>
      </c>
      <c r="K32" s="46" t="n">
        <v>60</v>
      </c>
      <c r="L32" s="46" t="n">
        <v>60</v>
      </c>
      <c r="M32" s="46" t="n">
        <v>60</v>
      </c>
      <c r="N32" s="40" t="n">
        <f aca="false">SUM(B32:M32)</f>
        <v>960</v>
      </c>
    </row>
    <row r="33" customFormat="false" ht="15" hidden="false" customHeight="false" outlineLevel="0" collapsed="false">
      <c r="A33" s="4" t="s">
        <v>52</v>
      </c>
      <c r="B33" s="46" t="n">
        <v>22</v>
      </c>
      <c r="C33" s="46" t="n">
        <v>20.3</v>
      </c>
      <c r="D33" s="46" t="n">
        <v>20.8</v>
      </c>
      <c r="E33" s="46" t="n">
        <v>23.7</v>
      </c>
      <c r="F33" s="46" t="n">
        <v>20.4</v>
      </c>
      <c r="G33" s="46" t="n">
        <v>21.4</v>
      </c>
      <c r="H33" s="46" t="n">
        <v>21.6</v>
      </c>
      <c r="I33" s="46" t="n">
        <v>22.6</v>
      </c>
      <c r="J33" s="46" t="n">
        <v>21.1</v>
      </c>
      <c r="K33" s="46" t="n">
        <v>21.8</v>
      </c>
      <c r="L33" s="46" t="n">
        <v>21.2</v>
      </c>
      <c r="M33" s="46" t="n">
        <v>23.5</v>
      </c>
      <c r="N33" s="40" t="n">
        <f aca="false">SUM(B33:M33)</f>
        <v>260.4</v>
      </c>
    </row>
    <row r="34" customFormat="false" ht="15" hidden="false" customHeight="false" outlineLevel="0" collapsed="false">
      <c r="A34" s="4" t="s">
        <v>53</v>
      </c>
      <c r="B34" s="46" t="n">
        <v>69.1</v>
      </c>
      <c r="C34" s="46" t="n">
        <v>67.1</v>
      </c>
      <c r="D34" s="46" t="n">
        <v>70.9</v>
      </c>
      <c r="E34" s="46" t="n">
        <v>66.8</v>
      </c>
      <c r="F34" s="46" t="n">
        <v>68.7</v>
      </c>
      <c r="G34" s="46" t="n">
        <v>70.3</v>
      </c>
      <c r="H34" s="46" t="n">
        <v>68.7</v>
      </c>
      <c r="I34" s="46" t="n">
        <v>68.2</v>
      </c>
      <c r="J34" s="46" t="n">
        <v>73.4</v>
      </c>
      <c r="K34" s="46" t="n">
        <v>66.8</v>
      </c>
      <c r="L34" s="46" t="n">
        <v>71.4</v>
      </c>
      <c r="M34" s="46" t="n">
        <v>69.8</v>
      </c>
      <c r="N34" s="40" t="n">
        <f aca="false">SUM(B34:M34)</f>
        <v>831.2</v>
      </c>
    </row>
    <row r="35" customFormat="false" ht="15" hidden="false" customHeight="false" outlineLevel="0" collapsed="false">
      <c r="A35" s="3" t="s">
        <v>54</v>
      </c>
      <c r="B35" s="16" t="n">
        <f aca="false">SUM(B28:B34)</f>
        <v>1120.9</v>
      </c>
      <c r="C35" s="16" t="n">
        <f aca="false">SUM(C28:C34)</f>
        <v>1121</v>
      </c>
      <c r="D35" s="16" t="n">
        <f aca="false">SUM(D28:D34)</f>
        <v>1263.1</v>
      </c>
      <c r="E35" s="16" t="n">
        <f aca="false">SUM(E28:E34)</f>
        <v>1287.4</v>
      </c>
      <c r="F35" s="16" t="n">
        <f aca="false">SUM(F28:F34)</f>
        <v>1309</v>
      </c>
      <c r="G35" s="16" t="n">
        <f aca="false">SUM(G28:G34)</f>
        <v>1217</v>
      </c>
      <c r="H35" s="16" t="n">
        <f aca="false">SUM(H28:H34)</f>
        <v>1298.7</v>
      </c>
      <c r="I35" s="16" t="n">
        <f aca="false">SUM(I28:I34)</f>
        <v>1296.9</v>
      </c>
      <c r="J35" s="16" t="n">
        <f aca="false">SUM(J28:J34)</f>
        <v>1517.9</v>
      </c>
      <c r="K35" s="16" t="n">
        <f aca="false">SUM(K28:K34)</f>
        <v>1281.9</v>
      </c>
      <c r="L35" s="16" t="n">
        <f aca="false">SUM(L28:L34)</f>
        <v>1366.9</v>
      </c>
      <c r="M35" s="16" t="n">
        <f aca="false">SUM(M28:M34)</f>
        <v>1455.7</v>
      </c>
      <c r="N35" s="16" t="n">
        <f aca="false">SUM(N28:N34)</f>
        <v>15536.4</v>
      </c>
    </row>
    <row r="36" customFormat="false" ht="15" hidden="false" customHeight="false" outlineLevel="0" collapsed="false">
      <c r="A36" s="3" t="s">
        <v>55</v>
      </c>
      <c r="B36" s="47" t="n">
        <f aca="false">B25-B35</f>
        <v>738.69</v>
      </c>
      <c r="C36" s="47" t="n">
        <f aca="false">C25-C35</f>
        <v>731.8</v>
      </c>
      <c r="D36" s="47" t="n">
        <f aca="false">D25-D35</f>
        <v>972.63</v>
      </c>
      <c r="E36" s="47" t="n">
        <f aca="false">E25-E35</f>
        <v>1082.67</v>
      </c>
      <c r="F36" s="47" t="n">
        <f aca="false">F25-F35</f>
        <v>1160.3</v>
      </c>
      <c r="G36" s="47" t="n">
        <f aca="false">G25-G35</f>
        <v>1199.0396</v>
      </c>
      <c r="H36" s="47" t="n">
        <f aca="false">H25-H35</f>
        <v>961.782</v>
      </c>
      <c r="I36" s="47" t="n">
        <f aca="false">I25-I35</f>
        <v>920.8636</v>
      </c>
      <c r="J36" s="47" t="n">
        <f aca="false">J25-J35</f>
        <v>598.4188</v>
      </c>
      <c r="K36" s="47" t="n">
        <f aca="false">K25-K35</f>
        <v>862.4552</v>
      </c>
      <c r="L36" s="47" t="n">
        <f aca="false">L25-L35</f>
        <v>1136.098</v>
      </c>
      <c r="M36" s="47" t="n">
        <f aca="false">M25-M35</f>
        <v>1468.244</v>
      </c>
      <c r="N36" s="47" t="n">
        <f aca="false">N25-N35</f>
        <v>11832.9912</v>
      </c>
    </row>
    <row r="37" customFormat="false" ht="15" hidden="false" customHeight="false" outlineLevel="0" collapsed="false">
      <c r="A37" s="4" t="s">
        <v>56</v>
      </c>
      <c r="B37" s="13" t="n">
        <f aca="false">B36/B20</f>
        <v>0.228478726168236</v>
      </c>
      <c r="C37" s="13" t="n">
        <f aca="false">C36/C20</f>
        <v>0.227128828415002</v>
      </c>
      <c r="D37" s="13" t="n">
        <f aca="false">D36/D20</f>
        <v>0.250131156647328</v>
      </c>
      <c r="E37" s="13" t="n">
        <f aca="false">E36/E20</f>
        <v>0.262611880563708</v>
      </c>
      <c r="F37" s="13" t="n">
        <f aca="false">F36/F20</f>
        <v>0.270107316618945</v>
      </c>
      <c r="G37" s="13" t="n">
        <f aca="false">G36/G20</f>
        <v>0.279161286567408</v>
      </c>
      <c r="H37" s="13" t="n">
        <f aca="false">H36/H20</f>
        <v>0.239447602118172</v>
      </c>
      <c r="I37" s="13" t="n">
        <f aca="false">I36/I20</f>
        <v>0.233415442173595</v>
      </c>
      <c r="J37" s="13" t="n">
        <f aca="false">J36/J20</f>
        <v>0.159024517281149</v>
      </c>
      <c r="K37" s="13" t="n">
        <f aca="false">K36/K20</f>
        <v>0.222645271646504</v>
      </c>
      <c r="L37" s="13" t="n">
        <f aca="false">L36/L20</f>
        <v>0.251199840095023</v>
      </c>
      <c r="M37" s="13" t="n">
        <f aca="false">M36/M20</f>
        <v>0.277881471830567</v>
      </c>
      <c r="N37" s="41" t="n">
        <f aca="false">N36/N20</f>
        <v>0.244170327470352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6" t="s">
        <v>18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9" t="s">
        <v>108</v>
      </c>
      <c r="B4" s="10" t="s">
        <v>170</v>
      </c>
    </row>
    <row r="5" customFormat="false" ht="15" hidden="false" customHeight="false" outlineLevel="0" collapsed="false">
      <c r="A5" s="4" t="s">
        <v>171</v>
      </c>
      <c r="B5" s="48" t="n">
        <f aca="false">ROUND(Budget!N20-46970,2)</f>
        <v>0</v>
      </c>
    </row>
    <row r="6" customFormat="false" ht="15" hidden="false" customHeight="false" outlineLevel="0" collapsed="false">
      <c r="A6" s="4" t="s">
        <v>172</v>
      </c>
      <c r="B6" s="48" t="n">
        <f aca="false">ROUND(Actual!N20-48462.036,2)</f>
        <v>0</v>
      </c>
    </row>
    <row r="7" customFormat="false" ht="15" hidden="false" customHeight="false" outlineLevel="0" collapsed="false">
      <c r="A7" s="4" t="s">
        <v>173</v>
      </c>
      <c r="B7" s="48" t="n">
        <f aca="false">ROUND(Budget!N35-14944.8,2)</f>
        <v>0</v>
      </c>
    </row>
    <row r="8" customFormat="false" ht="15" hidden="false" customHeight="false" outlineLevel="0" collapsed="false">
      <c r="A8" s="4" t="s">
        <v>174</v>
      </c>
      <c r="B8" s="48" t="n">
        <f aca="false">ROUND(Actual!N35-15536.4,2)</f>
        <v>0</v>
      </c>
    </row>
    <row r="9" customFormat="false" ht="15" hidden="false" customHeight="false" outlineLevel="0" collapsed="false">
      <c r="A9" s="4" t="s">
        <v>175</v>
      </c>
      <c r="B9" s="48" t="n">
        <f aca="false">'Revenue Analysis'!M8</f>
        <v>0</v>
      </c>
    </row>
    <row r="10" customFormat="false" ht="15" hidden="false" customHeight="false" outlineLevel="0" collapsed="false">
      <c r="A10" s="4" t="s">
        <v>176</v>
      </c>
      <c r="B10" s="48" t="n">
        <f aca="false">'Cost Analysis'!H8</f>
        <v>0</v>
      </c>
    </row>
    <row r="11" customFormat="false" ht="15" hidden="false" customHeight="false" outlineLevel="0" collapsed="false">
      <c r="A11" s="4" t="s">
        <v>177</v>
      </c>
      <c r="B11" s="48" t="n">
        <f aca="false">Summary!B43</f>
        <v>0</v>
      </c>
    </row>
    <row r="12" customFormat="false" ht="15" hidden="false" customHeight="false" outlineLevel="0" collapsed="false">
      <c r="A12" s="4" t="s">
        <v>178</v>
      </c>
      <c r="B12" s="48" t="n">
        <f aca="false">ROUND(Monthly!N17-Summary!D26,2)</f>
        <v>0</v>
      </c>
    </row>
    <row r="14" customFormat="false" ht="15" hidden="false" customHeight="false" outlineLevel="0" collapsed="false">
      <c r="A14" s="3" t="s">
        <v>179</v>
      </c>
      <c r="B14" s="5" t="str">
        <f aca="false">IF(SUMPRODUCT(ABS(B5:B12))=0,"OK","ERROR")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2026-10-20T05:25:45Z</dcterms:created>
  <dc:creator>openpyxl</dc:creator>
  <dc:description/>
  <dc:language>en-US</dc:language>
  <cp:lastModifiedBy/>
  <dcterms:modified xsi:type="dcterms:W3CDTF">2026-10-20T05:25:47Z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